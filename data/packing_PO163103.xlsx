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811" firstSheet="0" activeTab="0" autoFilterDateGrouping="1"/>
  </bookViews>
  <sheets>
    <sheet name="PAC" sheetId="1" state="visible" r:id="rId1"/>
    <sheet name="invoice" sheetId="2" state="visible" r:id="rId2"/>
  </sheets>
  <definedNames>
    <definedName name="_xlnm.Print_Area" localSheetId="0">'PAC'!$A$1:$L$45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0_);[Red]\(0\)"/>
    <numFmt numFmtId="165" formatCode="0.000_);[Red]\(0.000\)"/>
    <numFmt numFmtId="166" formatCode="0.00_);[Red]\(0.00\)"/>
    <numFmt numFmtId="167" formatCode="#,##0_);[Red]\(#,##0\)"/>
    <numFmt numFmtId="168" formatCode="#,##0.000_);[Red]\(#,##0.000\)"/>
    <numFmt numFmtId="169" formatCode="#,##0.00_);[Red]\(#,##0.00\)"/>
    <numFmt numFmtId="170" formatCode="#,##0.00_ "/>
    <numFmt numFmtId="171" formatCode="_-* #,##0_-;\-* #,##0_-;_-* &quot;-&quot;??_-;_-@_-"/>
    <numFmt numFmtId="172" formatCode="_-* #,##0.00_-;\-* #,##0.00_-;_-* &quot;-&quot;??_-;_-@_-"/>
    <numFmt numFmtId="173" formatCode="0.00_ "/>
  </numFmts>
  <fonts count="41">
    <font>
      <name val="新細明體"/>
      <charset val="136"/>
      <family val="1"/>
      <sz val="12"/>
    </font>
    <font>
      <name val="新細明體"/>
      <charset val="136"/>
      <family val="1"/>
      <sz val="12"/>
    </font>
    <font>
      <name val="Times New Roman"/>
      <family val="1"/>
      <b val="1"/>
      <sz val="20"/>
      <u val="single"/>
    </font>
    <font>
      <name val="新細明體"/>
      <charset val="136"/>
      <family val="1"/>
      <sz val="9"/>
    </font>
    <font>
      <name val="Times New Roman"/>
      <family val="1"/>
      <sz val="11"/>
    </font>
    <font>
      <name val="Times New Roman"/>
      <family val="1"/>
      <b val="1"/>
      <sz val="16"/>
      <u val="single"/>
    </font>
    <font>
      <name val="Times New Roman"/>
      <family val="1"/>
      <b val="1"/>
      <sz val="12"/>
    </font>
    <font>
      <name val="Times New Roman"/>
      <family val="1"/>
      <b val="1"/>
      <sz val="11"/>
    </font>
    <font>
      <name val="Times New Roman"/>
      <family val="1"/>
      <b val="1"/>
      <sz val="9"/>
    </font>
    <font>
      <name val="Times New Roman"/>
      <family val="1"/>
      <sz val="12"/>
    </font>
    <font>
      <name val="Times New Roman"/>
      <family val="1"/>
      <b val="1"/>
      <sz val="10"/>
    </font>
    <font>
      <name val="Times New Roman"/>
      <family val="1"/>
      <color theme="1"/>
      <sz val="12"/>
    </font>
    <font>
      <name val="Calibri"/>
      <family val="2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theme="1"/>
      <sz val="18"/>
      <u val="single"/>
    </font>
    <font>
      <name val="Times New Roman"/>
      <family val="1"/>
      <b val="1"/>
      <color theme="1"/>
      <sz val="18"/>
    </font>
    <font>
      <name val="Times New Roman"/>
      <family val="1"/>
      <color rgb="FFFF0000"/>
      <sz val="11"/>
    </font>
    <font>
      <name val="Lucida Calligraphy"/>
      <family val="4"/>
      <sz val="11"/>
    </font>
    <font>
      <name val="Times New Roman"/>
      <family val="1"/>
      <color theme="1"/>
      <sz val="11"/>
    </font>
    <font>
      <name val="Times New Roman"/>
      <family val="1"/>
      <b val="1"/>
      <sz val="11"/>
      <u val="single"/>
    </font>
    <font>
      <name val="Times New Roman"/>
      <family val="1"/>
      <color rgb="FFFF0000"/>
      <sz val="12"/>
    </font>
    <font>
      <name val="新細明體"/>
      <charset val="136"/>
      <family val="1"/>
      <color indexed="8"/>
      <sz val="12"/>
    </font>
    <font>
      <name val="新細明體"/>
      <charset val="136"/>
      <family val="1"/>
      <color indexed="9"/>
      <sz val="12"/>
    </font>
    <font>
      <name val="宋体"/>
      <charset val="136"/>
      <family val="3"/>
      <sz val="12"/>
    </font>
    <font>
      <name val="新細明體"/>
      <charset val="136"/>
      <family val="1"/>
      <color indexed="60"/>
      <sz val="12"/>
    </font>
    <font>
      <name val="新細明體"/>
      <charset val="136"/>
      <family val="1"/>
      <b val="1"/>
      <color indexed="8"/>
      <sz val="12"/>
    </font>
    <font>
      <name val="新細明體"/>
      <charset val="136"/>
      <family val="1"/>
      <color indexed="17"/>
      <sz val="12"/>
    </font>
    <font>
      <name val="新細明體"/>
      <charset val="136"/>
      <family val="1"/>
      <b val="1"/>
      <color indexed="52"/>
      <sz val="12"/>
    </font>
    <font>
      <name val="新細明體"/>
      <family val="1"/>
      <sz val="12"/>
    </font>
    <font>
      <name val="新細明體"/>
      <charset val="136"/>
      <family val="1"/>
      <color indexed="52"/>
      <sz val="12"/>
    </font>
    <font>
      <name val="新細明體"/>
      <charset val="136"/>
      <family val="1"/>
      <i val="1"/>
      <color indexed="23"/>
      <sz val="12"/>
    </font>
    <font>
      <name val="新細明體"/>
      <charset val="136"/>
      <family val="1"/>
      <b val="1"/>
      <color indexed="56"/>
      <sz val="15"/>
    </font>
    <font>
      <name val="新細明體"/>
      <charset val="136"/>
      <family val="1"/>
      <b val="1"/>
      <color indexed="56"/>
      <sz val="13"/>
    </font>
    <font>
      <name val="新細明體"/>
      <charset val="136"/>
      <family val="1"/>
      <b val="1"/>
      <color indexed="56"/>
      <sz val="11"/>
    </font>
    <font>
      <name val="新細明體"/>
      <charset val="136"/>
      <family val="1"/>
      <b val="1"/>
      <color indexed="56"/>
      <sz val="18"/>
    </font>
    <font>
      <name val="新細明體"/>
      <charset val="136"/>
      <family val="1"/>
      <color indexed="62"/>
      <sz val="12"/>
    </font>
    <font>
      <name val="新細明體"/>
      <charset val="136"/>
      <family val="1"/>
      <b val="1"/>
      <color indexed="63"/>
      <sz val="12"/>
    </font>
    <font>
      <name val="新細明體"/>
      <charset val="136"/>
      <family val="1"/>
      <b val="1"/>
      <color indexed="9"/>
      <sz val="12"/>
    </font>
    <font>
      <name val="新細明體"/>
      <charset val="136"/>
      <family val="1"/>
      <color indexed="20"/>
      <sz val="12"/>
    </font>
    <font>
      <name val="新細明體"/>
      <charset val="136"/>
      <family val="1"/>
      <color indexed="10"/>
      <sz val="12"/>
    </font>
    <font>
      <name val="Times New Roman"/>
      <color rgb="FFFF0000"/>
    </font>
  </fonts>
  <fills count="2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42"/>
        <bgColor indexed="64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5"/>
        <bgColor indexed="64"/>
      </patternFill>
    </fill>
  </fills>
  <borders count="32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51">
    <xf numFmtId="0" fontId="1" fillId="0" borderId="0"/>
    <xf numFmtId="43" fontId="1" fillId="0" borderId="0"/>
    <xf numFmtId="0" fontId="1" fillId="0" borderId="0"/>
    <xf numFmtId="0" fontId="21" fillId="4" borderId="0" applyAlignment="1">
      <alignment vertical="center"/>
    </xf>
    <xf numFmtId="0" fontId="21" fillId="5" borderId="0" applyAlignment="1">
      <alignment vertical="center"/>
    </xf>
    <xf numFmtId="0" fontId="21" fillId="6" borderId="0" applyAlignment="1">
      <alignment vertical="center"/>
    </xf>
    <xf numFmtId="0" fontId="21" fillId="7" borderId="0" applyAlignment="1">
      <alignment vertical="center"/>
    </xf>
    <xf numFmtId="0" fontId="21" fillId="8" borderId="0" applyAlignment="1">
      <alignment vertical="center"/>
    </xf>
    <xf numFmtId="0" fontId="21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1" fillId="7" borderId="0" applyAlignment="1">
      <alignment vertical="center"/>
    </xf>
    <xf numFmtId="0" fontId="21" fillId="10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0" borderId="0"/>
    <xf numFmtId="0" fontId="1" fillId="0" borderId="0" applyAlignment="1">
      <alignment vertical="center"/>
    </xf>
    <xf numFmtId="0" fontId="1" fillId="0" borderId="0"/>
    <xf numFmtId="43" fontId="1" fillId="0" borderId="0"/>
    <xf numFmtId="0" fontId="24" fillId="18" borderId="0" applyAlignment="1">
      <alignment vertical="center"/>
    </xf>
    <xf numFmtId="0" fontId="25" fillId="0" borderId="21" applyAlignment="1">
      <alignment vertical="center"/>
    </xf>
    <xf numFmtId="0" fontId="26" fillId="6" borderId="0" applyAlignment="1">
      <alignment vertical="center"/>
    </xf>
    <xf numFmtId="0" fontId="26" fillId="19" borderId="0" applyAlignment="1">
      <alignment vertical="center"/>
    </xf>
    <xf numFmtId="0" fontId="27" fillId="20" borderId="22" applyAlignment="1">
      <alignment vertical="center"/>
    </xf>
    <xf numFmtId="0" fontId="28" fillId="0" borderId="0" applyAlignment="1">
      <alignment vertical="center"/>
    </xf>
    <xf numFmtId="0" fontId="29" fillId="0" borderId="23" applyAlignment="1">
      <alignment vertical="center"/>
    </xf>
    <xf numFmtId="0" fontId="23" fillId="21" borderId="24" applyAlignment="1">
      <alignment vertical="center"/>
    </xf>
    <xf numFmtId="0" fontId="30" fillId="0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2" fillId="25" borderId="0" applyAlignment="1">
      <alignment vertical="center"/>
    </xf>
    <xf numFmtId="0" fontId="31" fillId="0" borderId="25" applyAlignment="1">
      <alignment vertical="center"/>
    </xf>
    <xf numFmtId="0" fontId="32" fillId="0" borderId="26" applyAlignment="1">
      <alignment vertical="center"/>
    </xf>
    <xf numFmtId="0" fontId="33" fillId="0" borderId="27" applyAlignment="1">
      <alignment vertical="center"/>
    </xf>
    <xf numFmtId="0" fontId="33" fillId="0" borderId="0" applyAlignment="1">
      <alignment vertical="center"/>
    </xf>
    <xf numFmtId="0" fontId="34" fillId="0" borderId="0" applyAlignment="1">
      <alignment vertical="center"/>
    </xf>
    <xf numFmtId="0" fontId="35" fillId="9" borderId="22" applyAlignment="1">
      <alignment vertical="center"/>
    </xf>
    <xf numFmtId="0" fontId="36" fillId="20" borderId="28" applyAlignment="1">
      <alignment vertical="center"/>
    </xf>
    <xf numFmtId="0" fontId="37" fillId="26" borderId="29" applyAlignment="1">
      <alignment vertical="center"/>
    </xf>
    <xf numFmtId="0" fontId="38" fillId="5" borderId="0" applyAlignment="1">
      <alignment vertical="center"/>
    </xf>
    <xf numFmtId="0" fontId="38" fillId="27" borderId="0" applyAlignment="1">
      <alignment vertical="center"/>
    </xf>
    <xf numFmtId="0" fontId="39" fillId="0" borderId="0" applyAlignment="1">
      <alignment vertical="center"/>
    </xf>
  </cellStyleXfs>
  <cellXfs count="179"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165" fontId="6" fillId="2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0" fontId="8" fillId="0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165" fontId="7" fillId="0" borderId="3" applyAlignment="1" pivotButton="0" quotePrefix="0" xfId="0">
      <alignment horizontal="center" vertical="center"/>
    </xf>
    <xf numFmtId="166" fontId="7" fillId="0" borderId="3" applyAlignment="1" pivotButton="0" quotePrefix="0" xfId="0">
      <alignment horizontal="center" vertical="center"/>
    </xf>
    <xf numFmtId="166" fontId="7" fillId="0" borderId="4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vertical="center"/>
    </xf>
    <xf numFmtId="0" fontId="9" fillId="0" borderId="9" applyAlignment="1" pivotButton="0" quotePrefix="0" xfId="0">
      <alignment horizontal="center" vertical="center"/>
    </xf>
    <xf numFmtId="164" fontId="9" fillId="0" borderId="12" applyAlignment="1" pivotButton="0" quotePrefix="0" xfId="0">
      <alignment horizontal="center"/>
    </xf>
    <xf numFmtId="0" fontId="9" fillId="0" borderId="14" applyAlignment="1" pivotButton="0" quotePrefix="0" xfId="0">
      <alignment horizontal="center"/>
    </xf>
    <xf numFmtId="0" fontId="9" fillId="2" borderId="14" applyAlignment="1" pivotButton="0" quotePrefix="0" xfId="0">
      <alignment horizontal="right" vertical="center"/>
    </xf>
    <xf numFmtId="167" fontId="4" fillId="2" borderId="14" applyAlignment="1" pivotButton="0" quotePrefix="0" xfId="0">
      <alignment horizontal="center" vertical="center"/>
    </xf>
    <xf numFmtId="168" fontId="4" fillId="2" borderId="14" applyAlignment="1" pivotButton="0" quotePrefix="0" xfId="0">
      <alignment horizontal="right" vertical="center"/>
    </xf>
    <xf numFmtId="169" fontId="4" fillId="2" borderId="14" applyAlignment="1" pivotButton="0" quotePrefix="0" xfId="0">
      <alignment horizontal="right" vertical="center"/>
    </xf>
    <xf numFmtId="169" fontId="4" fillId="2" borderId="15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170" fontId="4" fillId="0" borderId="0" applyAlignment="1" pivotButton="0" quotePrefix="0" xfId="0">
      <alignment horizontal="right" vertical="center"/>
    </xf>
    <xf numFmtId="169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12" fillId="0" borderId="0" pivotButton="0" quotePrefix="0" xfId="0"/>
    <xf numFmtId="164" fontId="12" fillId="0" borderId="0" pivotButton="0" quotePrefix="0" xfId="0"/>
    <xf numFmtId="166" fontId="9" fillId="0" borderId="0" applyAlignment="1" pivotButton="0" quotePrefix="0" xfId="0">
      <alignment horizontal="left" vertical="center"/>
    </xf>
    <xf numFmtId="0" fontId="9" fillId="0" borderId="16" applyAlignment="1" pivotButton="0" quotePrefix="0" xfId="0">
      <alignment vertical="center"/>
    </xf>
    <xf numFmtId="0" fontId="9" fillId="0" borderId="16" applyAlignment="1" pivotButton="0" quotePrefix="0" xfId="0">
      <alignment horizontal="left" vertical="center"/>
    </xf>
    <xf numFmtId="0" fontId="12" fillId="0" borderId="16" pivotButton="0" quotePrefix="0" xfId="0"/>
    <xf numFmtId="164" fontId="12" fillId="0" borderId="16" pivotButton="0" quotePrefix="0" xfId="0"/>
    <xf numFmtId="0" fontId="9" fillId="0" borderId="16" applyAlignment="1" pivotButton="0" quotePrefix="0" xfId="0">
      <alignment horizontal="center" vertical="center"/>
    </xf>
    <xf numFmtId="0" fontId="4" fillId="0" borderId="16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9" fontId="9" fillId="0" borderId="8" applyAlignment="1" pivotButton="0" quotePrefix="0" xfId="0">
      <alignment horizontal="right" vertical="center"/>
    </xf>
    <xf numFmtId="0" fontId="4" fillId="0" borderId="0" applyAlignment="1" pivotButton="0" quotePrefix="0" xfId="2">
      <alignment horizontal="left" vertical="center"/>
    </xf>
    <xf numFmtId="0" fontId="6" fillId="0" borderId="17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171" fontId="9" fillId="0" borderId="7" applyAlignment="1" pivotButton="0" quotePrefix="0" xfId="1">
      <alignment horizontal="center" vertical="center"/>
    </xf>
    <xf numFmtId="0" fontId="9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66" fontId="9" fillId="0" borderId="0" applyAlignment="1" pivotButton="0" quotePrefix="0" xfId="0">
      <alignment vertical="center"/>
    </xf>
    <xf numFmtId="0" fontId="4" fillId="0" borderId="11" applyAlignment="1" pivotButton="0" quotePrefix="0" xfId="0">
      <alignment vertical="center"/>
    </xf>
    <xf numFmtId="0" fontId="9" fillId="0" borderId="11" applyAlignment="1" pivotButton="0" quotePrefix="0" xfId="0">
      <alignment vertical="center"/>
    </xf>
    <xf numFmtId="0" fontId="4" fillId="0" borderId="6" applyAlignment="1" pivotButton="0" quotePrefix="0" xfId="0">
      <alignment horizontal="left" vertical="center"/>
    </xf>
    <xf numFmtId="0" fontId="4" fillId="0" borderId="6" applyAlignment="1" pivotButton="0" quotePrefix="0" xfId="0">
      <alignment vertical="center"/>
    </xf>
    <xf numFmtId="171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justify" vertical="center"/>
    </xf>
    <xf numFmtId="0" fontId="4" fillId="0" borderId="8" applyAlignment="1" pivotButton="0" quotePrefix="0" xfId="0">
      <alignment vertical="center"/>
    </xf>
    <xf numFmtId="0" fontId="4" fillId="0" borderId="5" applyAlignment="1" pivotButton="0" quotePrefix="0" xfId="0">
      <alignment horizontal="right" vertical="center"/>
    </xf>
    <xf numFmtId="170" fontId="4" fillId="0" borderId="9" applyAlignment="1" pivotButton="0" quotePrefix="0" xfId="0">
      <alignment horizontal="right" vertical="center"/>
    </xf>
    <xf numFmtId="0" fontId="17" fillId="0" borderId="0" applyAlignment="1" pivotButton="0" quotePrefix="0" xfId="0">
      <alignment vertical="center"/>
    </xf>
    <xf numFmtId="0" fontId="4" fillId="3" borderId="8" applyAlignment="1" pivotButton="0" quotePrefix="0" xfId="0">
      <alignment vertical="center"/>
    </xf>
    <xf numFmtId="0" fontId="4" fillId="3" borderId="5" applyAlignment="1" pivotButton="0" quotePrefix="0" xfId="0">
      <alignment horizontal="right" vertical="center"/>
    </xf>
    <xf numFmtId="170" fontId="4" fillId="3" borderId="9" applyAlignment="1" pivotButton="0" quotePrefix="0" xfId="0">
      <alignment horizontal="right" vertical="center"/>
    </xf>
    <xf numFmtId="0" fontId="18" fillId="0" borderId="7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left" vertical="center" wrapText="1"/>
    </xf>
    <xf numFmtId="166" fontId="9" fillId="2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167" fontId="4" fillId="0" borderId="7" applyAlignment="1" pivotButton="0" quotePrefix="0" xfId="0">
      <alignment horizontal="center" vertical="center"/>
    </xf>
    <xf numFmtId="0" fontId="9" fillId="0" borderId="7" applyAlignment="1" pivotButton="0" quotePrefix="0" xfId="0">
      <alignment horizontal="right" vertical="center"/>
    </xf>
    <xf numFmtId="0" fontId="7" fillId="0" borderId="2" applyAlignment="1" pivotButton="0" quotePrefix="0" xfId="0">
      <alignment horizontal="center" vertical="center"/>
    </xf>
    <xf numFmtId="165" fontId="9" fillId="0" borderId="10" applyAlignment="1" pivotButton="0" quotePrefix="0" xfId="0">
      <alignment horizontal="right" vertical="center"/>
    </xf>
    <xf numFmtId="172" fontId="4" fillId="0" borderId="7" applyAlignment="1" pivotButton="0" quotePrefix="0" xfId="1">
      <alignment vertical="center"/>
    </xf>
    <xf numFmtId="172" fontId="4" fillId="0" borderId="8" applyAlignment="1" pivotButton="0" quotePrefix="0" xfId="1">
      <alignment vertical="center"/>
    </xf>
    <xf numFmtId="164" fontId="4" fillId="0" borderId="7" applyAlignment="1" pivotButton="0" quotePrefix="0" xfId="0">
      <alignment horizontal="center" vertical="center"/>
    </xf>
    <xf numFmtId="166" fontId="20" fillId="2" borderId="0" applyAlignment="1" pivotButton="0" quotePrefix="0" xfId="0">
      <alignment horizontal="left" vertical="center"/>
    </xf>
    <xf numFmtId="168" fontId="4" fillId="0" borderId="7" applyAlignment="1" pivotButton="0" quotePrefix="0" xfId="0">
      <alignment horizontal="right" vertical="center"/>
    </xf>
    <xf numFmtId="0" fontId="9" fillId="0" borderId="7" applyAlignment="1" pivotButton="0" quotePrefix="0" xfId="0">
      <alignment horizontal="center" vertical="center"/>
    </xf>
    <xf numFmtId="49" fontId="9" fillId="0" borderId="6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/>
    </xf>
    <xf numFmtId="164" fontId="9" fillId="0" borderId="7" applyAlignment="1" pivotButton="0" quotePrefix="0" xfId="0">
      <alignment horizontal="center" vertical="center"/>
    </xf>
    <xf numFmtId="172" fontId="4" fillId="0" borderId="7" applyAlignment="1" pivotButton="0" quotePrefix="0" xfId="0">
      <alignment vertical="center"/>
    </xf>
    <xf numFmtId="172" fontId="4" fillId="0" borderId="8" applyAlignment="1" pivotButton="0" quotePrefix="0" xfId="0">
      <alignment vertical="center"/>
    </xf>
    <xf numFmtId="164" fontId="9" fillId="0" borderId="5" applyAlignment="1" pivotButton="0" quotePrefix="0" xfId="0">
      <alignment horizontal="center" vertical="center"/>
    </xf>
    <xf numFmtId="49" fontId="9" fillId="0" borderId="5" applyAlignment="1" pivotButton="0" quotePrefix="0" xfId="0">
      <alignment horizontal="center" vertical="center" wrapText="1"/>
    </xf>
    <xf numFmtId="49" fontId="9" fillId="0" borderId="20" applyAlignment="1" pivotButton="0" quotePrefix="0" xfId="0">
      <alignment horizontal="center" vertical="center" wrapText="1"/>
    </xf>
    <xf numFmtId="164" fontId="9" fillId="0" borderId="6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4" fillId="0" borderId="7" applyAlignment="1" pivotButton="0" quotePrefix="0" xfId="0">
      <alignment vertical="center" wrapText="1"/>
    </xf>
    <xf numFmtId="49" fontId="4" fillId="2" borderId="0" applyAlignment="1" pivotButton="0" quotePrefix="0" xfId="0">
      <alignment vertical="center" wrapText="1"/>
    </xf>
    <xf numFmtId="164" fontId="9" fillId="0" borderId="12" applyAlignment="1" pivotButton="0" quotePrefix="0" xfId="0">
      <alignment horizontal="center" vertical="center"/>
    </xf>
    <xf numFmtId="164" fontId="9" fillId="0" borderId="1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173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164" fontId="4" fillId="0" borderId="0" pivotButton="0" quotePrefix="0" xfId="0"/>
    <xf numFmtId="165" fontId="4" fillId="0" borderId="0" pivotButton="0" quotePrefix="0" xfId="0"/>
    <xf numFmtId="164" fontId="6" fillId="0" borderId="0" applyAlignment="1" pivotButton="0" quotePrefix="0" xfId="0">
      <alignment vertical="center"/>
    </xf>
    <xf numFmtId="165" fontId="6" fillId="2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0" fontId="0" fillId="0" borderId="1" pivotButton="0" quotePrefix="0" xfId="0"/>
    <xf numFmtId="0" fontId="0" fillId="0" borderId="2" pivotButton="0" quotePrefix="0" xfId="0"/>
    <xf numFmtId="165" fontId="7" fillId="0" borderId="3" applyAlignment="1" pivotButton="0" quotePrefix="0" xfId="0">
      <alignment horizontal="center" vertical="center"/>
    </xf>
    <xf numFmtId="166" fontId="7" fillId="0" borderId="3" applyAlignment="1" pivotButton="0" quotePrefix="0" xfId="0">
      <alignment horizontal="center" vertical="center"/>
    </xf>
    <xf numFmtId="166" fontId="7" fillId="0" borderId="4" applyAlignment="1" pivotButton="0" quotePrefix="0" xfId="0">
      <alignment horizontal="center" vertical="center"/>
    </xf>
    <xf numFmtId="164" fontId="9" fillId="0" borderId="6" applyAlignment="1" pivotButton="0" quotePrefix="0" xfId="0">
      <alignment horizontal="center" vertical="center" wrapText="1"/>
    </xf>
    <xf numFmtId="164" fontId="4" fillId="0" borderId="7" applyAlignment="1" pivotButton="0" quotePrefix="0" xfId="0">
      <alignment horizontal="center" vertical="center"/>
    </xf>
    <xf numFmtId="168" fontId="4" fillId="0" borderId="7" applyAlignment="1" pivotButton="0" quotePrefix="0" xfId="0">
      <alignment horizontal="right" vertical="center"/>
    </xf>
    <xf numFmtId="172" fontId="4" fillId="0" borderId="7" applyAlignment="1" pivotButton="0" quotePrefix="0" xfId="1">
      <alignment vertical="center"/>
    </xf>
    <xf numFmtId="172" fontId="4" fillId="0" borderId="8" applyAlignment="1" pivotButton="0" quotePrefix="0" xfId="1">
      <alignment vertical="center"/>
    </xf>
    <xf numFmtId="164" fontId="9" fillId="0" borderId="5" applyAlignment="1" pivotButton="0" quotePrefix="0" xfId="0">
      <alignment horizontal="center" vertical="center"/>
    </xf>
    <xf numFmtId="164" fontId="9" fillId="0" borderId="7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172" fontId="4" fillId="0" borderId="7" applyAlignment="1" pivotButton="0" quotePrefix="0" xfId="0">
      <alignment vertical="center"/>
    </xf>
    <xf numFmtId="172" fontId="4" fillId="0" borderId="8" applyAlignment="1" pivotButton="0" quotePrefix="0" xfId="0">
      <alignment vertical="center"/>
    </xf>
    <xf numFmtId="164" fontId="9" fillId="0" borderId="13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64" fontId="9" fillId="0" borderId="12" applyAlignment="1" pivotButton="0" quotePrefix="0" xfId="0">
      <alignment horizontal="center"/>
    </xf>
    <xf numFmtId="167" fontId="4" fillId="2" borderId="14" applyAlignment="1" pivotButton="0" quotePrefix="0" xfId="0">
      <alignment horizontal="center" vertical="center"/>
    </xf>
    <xf numFmtId="168" fontId="4" fillId="2" borderId="14" applyAlignment="1" pivotButton="0" quotePrefix="0" xfId="0">
      <alignment horizontal="right" vertical="center"/>
    </xf>
    <xf numFmtId="169" fontId="4" fillId="2" borderId="14" applyAlignment="1" pivotButton="0" quotePrefix="0" xfId="0">
      <alignment horizontal="right" vertical="center"/>
    </xf>
    <xf numFmtId="169" fontId="4" fillId="2" borderId="15" applyAlignment="1" pivotButton="0" quotePrefix="0" xfId="0">
      <alignment horizontal="right" vertical="center"/>
    </xf>
    <xf numFmtId="164" fontId="10" fillId="0" borderId="0" applyAlignment="1" pivotButton="0" quotePrefix="0" xfId="0">
      <alignment horizontal="center" vertical="center"/>
    </xf>
    <xf numFmtId="170" fontId="4" fillId="0" borderId="0" applyAlignment="1" pivotButton="0" quotePrefix="0" xfId="0">
      <alignment horizontal="right" vertical="center"/>
    </xf>
    <xf numFmtId="169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left" vertical="center"/>
    </xf>
    <xf numFmtId="165" fontId="9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0" fontId="40" fillId="0" borderId="0" applyAlignment="1" pivotButton="0" quotePrefix="0" xfId="0">
      <alignment vertical="center"/>
    </xf>
    <xf numFmtId="164" fontId="12" fillId="0" borderId="0" pivotButton="0" quotePrefix="0" xfId="0"/>
    <xf numFmtId="164" fontId="40" fillId="0" borderId="0" pivotButton="0" quotePrefix="0" xfId="0"/>
    <xf numFmtId="0" fontId="40" fillId="0" borderId="0" pivotButton="0" quotePrefix="0" xfId="0"/>
    <xf numFmtId="164" fontId="40" fillId="0" borderId="0" applyAlignment="1" pivotButton="0" quotePrefix="0" xfId="0">
      <alignment horizontal="left" vertical="center"/>
    </xf>
    <xf numFmtId="166" fontId="20" fillId="2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left" vertical="center"/>
    </xf>
    <xf numFmtId="166" fontId="40" fillId="2" borderId="0" applyAlignment="1" pivotButton="0" quotePrefix="0" xfId="0">
      <alignment horizontal="left" vertical="center"/>
    </xf>
    <xf numFmtId="166" fontId="9" fillId="2" borderId="0" applyAlignment="1" pivotButton="0" quotePrefix="0" xfId="0">
      <alignment horizontal="left" vertical="center"/>
    </xf>
    <xf numFmtId="164" fontId="12" fillId="0" borderId="16" pivotButton="0" quotePrefix="0" xfId="0"/>
    <xf numFmtId="166" fontId="9" fillId="0" borderId="16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166" fontId="9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vertical="center"/>
    </xf>
    <xf numFmtId="173" fontId="2" fillId="0" borderId="0" applyAlignment="1" pivotButton="0" quotePrefix="0" xfId="0">
      <alignment horizontal="center" vertical="center"/>
    </xf>
    <xf numFmtId="171" fontId="9" fillId="0" borderId="7" applyAlignment="1" pivotButton="0" quotePrefix="0" xfId="1">
      <alignment horizontal="center" vertical="center"/>
    </xf>
    <xf numFmtId="165" fontId="9" fillId="0" borderId="10" applyAlignment="1" pivotButton="0" quotePrefix="0" xfId="0">
      <alignment horizontal="right" vertical="center"/>
    </xf>
    <xf numFmtId="169" fontId="9" fillId="0" borderId="8" applyAlignment="1" pivotButton="0" quotePrefix="0" xfId="0">
      <alignment horizontal="right" vertical="center"/>
    </xf>
    <xf numFmtId="166" fontId="9" fillId="0" borderId="0" applyAlignment="1" pivotButton="0" quotePrefix="0" xfId="0">
      <alignment vertical="center"/>
    </xf>
    <xf numFmtId="171" fontId="4" fillId="0" borderId="0" applyAlignment="1" pivotButton="0" quotePrefix="0" xfId="0">
      <alignment horizontal="right" vertical="center"/>
    </xf>
    <xf numFmtId="170" fontId="4" fillId="0" borderId="9" applyAlignment="1" pivotButton="0" quotePrefix="0" xfId="0">
      <alignment horizontal="right" vertical="center"/>
    </xf>
    <xf numFmtId="170" fontId="4" fillId="3" borderId="9" applyAlignment="1" pivotButton="0" quotePrefix="0" xfId="0">
      <alignment horizontal="right" vertical="center"/>
    </xf>
  </cellXfs>
  <cellStyles count="51">
    <cellStyle name="一般" xfId="0" builtinId="0"/>
    <cellStyle name="千分位" xfId="1" builtinId="3"/>
    <cellStyle name="一般 2" xfId="2"/>
    <cellStyle name="20% - 輔色1 2" xfId="3"/>
    <cellStyle name="20% - 輔色2 2" xfId="4"/>
    <cellStyle name="20% - 輔色3 2" xfId="5"/>
    <cellStyle name="20% - 輔色4 2" xfId="6"/>
    <cellStyle name="20% - 輔色5 2" xfId="7"/>
    <cellStyle name="20% - 輔色6 2" xfId="8"/>
    <cellStyle name="40% - 輔色1 2" xfId="9"/>
    <cellStyle name="40% - 輔色2 2" xfId="10"/>
    <cellStyle name="40% - 輔色3 2" xfId="11"/>
    <cellStyle name="40% - 輔色4 2" xfId="12"/>
    <cellStyle name="40% - 輔色5 2" xfId="13"/>
    <cellStyle name="40% - 輔色6 2" xfId="14"/>
    <cellStyle name="60% - 輔色1 2" xfId="15"/>
    <cellStyle name="60% - 輔色2 2" xfId="16"/>
    <cellStyle name="60% - 輔色3 2" xfId="17"/>
    <cellStyle name="60% - 輔色4 2" xfId="18"/>
    <cellStyle name="60% - 輔色5 2" xfId="19"/>
    <cellStyle name="60% - 輔色6 2" xfId="20"/>
    <cellStyle name="一般 3" xfId="21"/>
    <cellStyle name="一般 4" xfId="22"/>
    <cellStyle name="一般 5" xfId="23"/>
    <cellStyle name="千分位 2" xfId="24"/>
    <cellStyle name="中等 2" xfId="25"/>
    <cellStyle name="合計 2" xfId="26"/>
    <cellStyle name="好 2" xfId="27"/>
    <cellStyle name="好_589" xfId="28"/>
    <cellStyle name="計算方式 2" xfId="29"/>
    <cellStyle name="常规_1182_2" xfId="30"/>
    <cellStyle name="連結的儲存格 2" xfId="31"/>
    <cellStyle name="備註 2" xfId="32"/>
    <cellStyle name="說明文字 2" xfId="33"/>
    <cellStyle name="輔色1 2" xfId="34"/>
    <cellStyle name="輔色2 2" xfId="35"/>
    <cellStyle name="輔色3 2" xfId="36"/>
    <cellStyle name="輔色4 2" xfId="37"/>
    <cellStyle name="輔色5 2" xfId="38"/>
    <cellStyle name="輔色6 2" xfId="39"/>
    <cellStyle name="標題 1 2" xfId="40"/>
    <cellStyle name="標題 2 2" xfId="41"/>
    <cellStyle name="標題 3 2" xfId="42"/>
    <cellStyle name="標題 4 2" xfId="43"/>
    <cellStyle name="標題 5" xfId="44"/>
    <cellStyle name="輸入 2" xfId="45"/>
    <cellStyle name="輸出 2" xfId="46"/>
    <cellStyle name="檢查儲存格 2" xfId="47"/>
    <cellStyle name="壞 2" xfId="48"/>
    <cellStyle name="壞_589" xfId="49"/>
    <cellStyle name="警告文字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tel:+886-2-89111133%20%20%20FAX:+886-2-8665305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W62"/>
  <sheetViews>
    <sheetView tabSelected="1" view="pageBreakPreview" topLeftCell="A2" zoomScaleNormal="100" zoomScaleSheetLayoutView="100" workbookViewId="0">
      <selection activeCell="F26" sqref="F26"/>
    </sheetView>
  </sheetViews>
  <sheetFormatPr baseColWidth="8" defaultRowHeight="14"/>
  <cols>
    <col width="5" customWidth="1" style="55" min="1" max="1"/>
    <col width="4.26953125" customWidth="1" style="55" min="2" max="2"/>
    <col width="6.08984375" customWidth="1" style="55" min="3" max="3"/>
    <col width="8.7265625" customWidth="1" style="120" min="4" max="4"/>
    <col width="13.54296875" customWidth="1" style="120" min="5" max="5"/>
    <col width="16.90625" customWidth="1" style="28" min="6" max="6"/>
    <col width="37" customWidth="1" style="55" min="7" max="7"/>
    <col width="10" customWidth="1" style="55" min="8" max="8"/>
    <col width="13.90625" customWidth="1" style="55" min="9" max="9"/>
    <col width="11.08984375" customWidth="1" style="55" min="10" max="10"/>
    <col width="13.26953125" customWidth="1" style="55" min="11" max="11"/>
    <col width="13.1796875" customWidth="1" style="121" min="12" max="12"/>
    <col width="8.7265625" customWidth="1" style="55" min="13" max="257"/>
    <col width="5" customWidth="1" style="55" min="258" max="258"/>
    <col width="4.26953125" customWidth="1" style="55" min="259" max="259"/>
    <col width="5.453125" customWidth="1" style="55" min="260" max="260"/>
    <col width="8.7265625" customWidth="1" style="55" min="261" max="261"/>
    <col width="20.08984375" customWidth="1" style="55" min="262" max="262"/>
    <col width="37" customWidth="1" style="55" min="263" max="263"/>
    <col width="10" customWidth="1" style="55" min="264" max="264"/>
    <col width="12.7265625" customWidth="1" style="55" min="265" max="265"/>
    <col width="11.08984375" customWidth="1" style="55" min="266" max="266"/>
    <col width="13.26953125" customWidth="1" style="55" min="267" max="267"/>
    <col width="15.08984375" customWidth="1" style="55" min="268" max="268"/>
    <col width="8.7265625" customWidth="1" style="55" min="269" max="513"/>
    <col width="5" customWidth="1" style="55" min="514" max="514"/>
    <col width="4.26953125" customWidth="1" style="55" min="515" max="515"/>
    <col width="5.453125" customWidth="1" style="55" min="516" max="516"/>
    <col width="8.7265625" customWidth="1" style="55" min="517" max="517"/>
    <col width="20.08984375" customWidth="1" style="55" min="518" max="518"/>
    <col width="37" customWidth="1" style="55" min="519" max="519"/>
    <col width="10" customWidth="1" style="55" min="520" max="520"/>
    <col width="12.7265625" customWidth="1" style="55" min="521" max="521"/>
    <col width="11.08984375" customWidth="1" style="55" min="522" max="522"/>
    <col width="13.26953125" customWidth="1" style="55" min="523" max="523"/>
    <col width="15.08984375" customWidth="1" style="55" min="524" max="524"/>
    <col width="8.7265625" customWidth="1" style="55" min="525" max="769"/>
    <col width="5" customWidth="1" style="55" min="770" max="770"/>
    <col width="4.26953125" customWidth="1" style="55" min="771" max="771"/>
    <col width="5.453125" customWidth="1" style="55" min="772" max="772"/>
    <col width="8.7265625" customWidth="1" style="55" min="773" max="773"/>
    <col width="20.08984375" customWidth="1" style="55" min="774" max="774"/>
    <col width="37" customWidth="1" style="55" min="775" max="775"/>
    <col width="10" customWidth="1" style="55" min="776" max="776"/>
    <col width="12.7265625" customWidth="1" style="55" min="777" max="777"/>
    <col width="11.08984375" customWidth="1" style="55" min="778" max="778"/>
    <col width="13.26953125" customWidth="1" style="55" min="779" max="779"/>
    <col width="15.08984375" customWidth="1" style="55" min="780" max="780"/>
    <col width="8.7265625" customWidth="1" style="55" min="781" max="1025"/>
    <col width="5" customWidth="1" style="55" min="1026" max="1026"/>
    <col width="4.26953125" customWidth="1" style="55" min="1027" max="1027"/>
    <col width="5.453125" customWidth="1" style="55" min="1028" max="1028"/>
    <col width="8.7265625" customWidth="1" style="55" min="1029" max="1029"/>
    <col width="20.08984375" customWidth="1" style="55" min="1030" max="1030"/>
    <col width="37" customWidth="1" style="55" min="1031" max="1031"/>
    <col width="10" customWidth="1" style="55" min="1032" max="1032"/>
    <col width="12.7265625" customWidth="1" style="55" min="1033" max="1033"/>
    <col width="11.08984375" customWidth="1" style="55" min="1034" max="1034"/>
    <col width="13.26953125" customWidth="1" style="55" min="1035" max="1035"/>
    <col width="15.08984375" customWidth="1" style="55" min="1036" max="1036"/>
    <col width="8.7265625" customWidth="1" style="55" min="1037" max="1281"/>
    <col width="5" customWidth="1" style="55" min="1282" max="1282"/>
    <col width="4.26953125" customWidth="1" style="55" min="1283" max="1283"/>
    <col width="5.453125" customWidth="1" style="55" min="1284" max="1284"/>
    <col width="8.7265625" customWidth="1" style="55" min="1285" max="1285"/>
    <col width="20.08984375" customWidth="1" style="55" min="1286" max="1286"/>
    <col width="37" customWidth="1" style="55" min="1287" max="1287"/>
    <col width="10" customWidth="1" style="55" min="1288" max="1288"/>
    <col width="12.7265625" customWidth="1" style="55" min="1289" max="1289"/>
    <col width="11.08984375" customWidth="1" style="55" min="1290" max="1290"/>
    <col width="13.26953125" customWidth="1" style="55" min="1291" max="1291"/>
    <col width="15.08984375" customWidth="1" style="55" min="1292" max="1292"/>
    <col width="8.7265625" customWidth="1" style="55" min="1293" max="1537"/>
    <col width="5" customWidth="1" style="55" min="1538" max="1538"/>
    <col width="4.26953125" customWidth="1" style="55" min="1539" max="1539"/>
    <col width="5.453125" customWidth="1" style="55" min="1540" max="1540"/>
    <col width="8.7265625" customWidth="1" style="55" min="1541" max="1541"/>
    <col width="20.08984375" customWidth="1" style="55" min="1542" max="1542"/>
    <col width="37" customWidth="1" style="55" min="1543" max="1543"/>
    <col width="10" customWidth="1" style="55" min="1544" max="1544"/>
    <col width="12.7265625" customWidth="1" style="55" min="1545" max="1545"/>
    <col width="11.08984375" customWidth="1" style="55" min="1546" max="1546"/>
    <col width="13.26953125" customWidth="1" style="55" min="1547" max="1547"/>
    <col width="15.08984375" customWidth="1" style="55" min="1548" max="1548"/>
    <col width="8.7265625" customWidth="1" style="55" min="1549" max="1793"/>
    <col width="5" customWidth="1" style="55" min="1794" max="1794"/>
    <col width="4.26953125" customWidth="1" style="55" min="1795" max="1795"/>
    <col width="5.453125" customWidth="1" style="55" min="1796" max="1796"/>
    <col width="8.7265625" customWidth="1" style="55" min="1797" max="1797"/>
    <col width="20.08984375" customWidth="1" style="55" min="1798" max="1798"/>
    <col width="37" customWidth="1" style="55" min="1799" max="1799"/>
    <col width="10" customWidth="1" style="55" min="1800" max="1800"/>
    <col width="12.7265625" customWidth="1" style="55" min="1801" max="1801"/>
    <col width="11.08984375" customWidth="1" style="55" min="1802" max="1802"/>
    <col width="13.26953125" customWidth="1" style="55" min="1803" max="1803"/>
    <col width="15.08984375" customWidth="1" style="55" min="1804" max="1804"/>
    <col width="8.7265625" customWidth="1" style="55" min="1805" max="2049"/>
    <col width="5" customWidth="1" style="55" min="2050" max="2050"/>
    <col width="4.26953125" customWidth="1" style="55" min="2051" max="2051"/>
    <col width="5.453125" customWidth="1" style="55" min="2052" max="2052"/>
    <col width="8.7265625" customWidth="1" style="55" min="2053" max="2053"/>
    <col width="20.08984375" customWidth="1" style="55" min="2054" max="2054"/>
    <col width="37" customWidth="1" style="55" min="2055" max="2055"/>
    <col width="10" customWidth="1" style="55" min="2056" max="2056"/>
    <col width="12.7265625" customWidth="1" style="55" min="2057" max="2057"/>
    <col width="11.08984375" customWidth="1" style="55" min="2058" max="2058"/>
    <col width="13.26953125" customWidth="1" style="55" min="2059" max="2059"/>
    <col width="15.08984375" customWidth="1" style="55" min="2060" max="2060"/>
    <col width="8.7265625" customWidth="1" style="55" min="2061" max="2305"/>
    <col width="5" customWidth="1" style="55" min="2306" max="2306"/>
    <col width="4.26953125" customWidth="1" style="55" min="2307" max="2307"/>
    <col width="5.453125" customWidth="1" style="55" min="2308" max="2308"/>
    <col width="8.7265625" customWidth="1" style="55" min="2309" max="2309"/>
    <col width="20.08984375" customWidth="1" style="55" min="2310" max="2310"/>
    <col width="37" customWidth="1" style="55" min="2311" max="2311"/>
    <col width="10" customWidth="1" style="55" min="2312" max="2312"/>
    <col width="12.7265625" customWidth="1" style="55" min="2313" max="2313"/>
    <col width="11.08984375" customWidth="1" style="55" min="2314" max="2314"/>
    <col width="13.26953125" customWidth="1" style="55" min="2315" max="2315"/>
    <col width="15.08984375" customWidth="1" style="55" min="2316" max="2316"/>
    <col width="8.7265625" customWidth="1" style="55" min="2317" max="2561"/>
    <col width="5" customWidth="1" style="55" min="2562" max="2562"/>
    <col width="4.26953125" customWidth="1" style="55" min="2563" max="2563"/>
    <col width="5.453125" customWidth="1" style="55" min="2564" max="2564"/>
    <col width="8.7265625" customWidth="1" style="55" min="2565" max="2565"/>
    <col width="20.08984375" customWidth="1" style="55" min="2566" max="2566"/>
    <col width="37" customWidth="1" style="55" min="2567" max="2567"/>
    <col width="10" customWidth="1" style="55" min="2568" max="2568"/>
    <col width="12.7265625" customWidth="1" style="55" min="2569" max="2569"/>
    <col width="11.08984375" customWidth="1" style="55" min="2570" max="2570"/>
    <col width="13.26953125" customWidth="1" style="55" min="2571" max="2571"/>
    <col width="15.08984375" customWidth="1" style="55" min="2572" max="2572"/>
    <col width="8.7265625" customWidth="1" style="55" min="2573" max="2817"/>
    <col width="5" customWidth="1" style="55" min="2818" max="2818"/>
    <col width="4.26953125" customWidth="1" style="55" min="2819" max="2819"/>
    <col width="5.453125" customWidth="1" style="55" min="2820" max="2820"/>
    <col width="8.7265625" customWidth="1" style="55" min="2821" max="2821"/>
    <col width="20.08984375" customWidth="1" style="55" min="2822" max="2822"/>
    <col width="37" customWidth="1" style="55" min="2823" max="2823"/>
    <col width="10" customWidth="1" style="55" min="2824" max="2824"/>
    <col width="12.7265625" customWidth="1" style="55" min="2825" max="2825"/>
    <col width="11.08984375" customWidth="1" style="55" min="2826" max="2826"/>
    <col width="13.26953125" customWidth="1" style="55" min="2827" max="2827"/>
    <col width="15.08984375" customWidth="1" style="55" min="2828" max="2828"/>
    <col width="8.7265625" customWidth="1" style="55" min="2829" max="3073"/>
    <col width="5" customWidth="1" style="55" min="3074" max="3074"/>
    <col width="4.26953125" customWidth="1" style="55" min="3075" max="3075"/>
    <col width="5.453125" customWidth="1" style="55" min="3076" max="3076"/>
    <col width="8.7265625" customWidth="1" style="55" min="3077" max="3077"/>
    <col width="20.08984375" customWidth="1" style="55" min="3078" max="3078"/>
    <col width="37" customWidth="1" style="55" min="3079" max="3079"/>
    <col width="10" customWidth="1" style="55" min="3080" max="3080"/>
    <col width="12.7265625" customWidth="1" style="55" min="3081" max="3081"/>
    <col width="11.08984375" customWidth="1" style="55" min="3082" max="3082"/>
    <col width="13.26953125" customWidth="1" style="55" min="3083" max="3083"/>
    <col width="15.08984375" customWidth="1" style="55" min="3084" max="3084"/>
    <col width="8.7265625" customWidth="1" style="55" min="3085" max="3329"/>
    <col width="5" customWidth="1" style="55" min="3330" max="3330"/>
    <col width="4.26953125" customWidth="1" style="55" min="3331" max="3331"/>
    <col width="5.453125" customWidth="1" style="55" min="3332" max="3332"/>
    <col width="8.7265625" customWidth="1" style="55" min="3333" max="3333"/>
    <col width="20.08984375" customWidth="1" style="55" min="3334" max="3334"/>
    <col width="37" customWidth="1" style="55" min="3335" max="3335"/>
    <col width="10" customWidth="1" style="55" min="3336" max="3336"/>
    <col width="12.7265625" customWidth="1" style="55" min="3337" max="3337"/>
    <col width="11.08984375" customWidth="1" style="55" min="3338" max="3338"/>
    <col width="13.26953125" customWidth="1" style="55" min="3339" max="3339"/>
    <col width="15.08984375" customWidth="1" style="55" min="3340" max="3340"/>
    <col width="8.7265625" customWidth="1" style="55" min="3341" max="3585"/>
    <col width="5" customWidth="1" style="55" min="3586" max="3586"/>
    <col width="4.26953125" customWidth="1" style="55" min="3587" max="3587"/>
    <col width="5.453125" customWidth="1" style="55" min="3588" max="3588"/>
    <col width="8.7265625" customWidth="1" style="55" min="3589" max="3589"/>
    <col width="20.08984375" customWidth="1" style="55" min="3590" max="3590"/>
    <col width="37" customWidth="1" style="55" min="3591" max="3591"/>
    <col width="10" customWidth="1" style="55" min="3592" max="3592"/>
    <col width="12.7265625" customWidth="1" style="55" min="3593" max="3593"/>
    <col width="11.08984375" customWidth="1" style="55" min="3594" max="3594"/>
    <col width="13.26953125" customWidth="1" style="55" min="3595" max="3595"/>
    <col width="15.08984375" customWidth="1" style="55" min="3596" max="3596"/>
    <col width="8.7265625" customWidth="1" style="55" min="3597" max="3841"/>
    <col width="5" customWidth="1" style="55" min="3842" max="3842"/>
    <col width="4.26953125" customWidth="1" style="55" min="3843" max="3843"/>
    <col width="5.453125" customWidth="1" style="55" min="3844" max="3844"/>
    <col width="8.7265625" customWidth="1" style="55" min="3845" max="3845"/>
    <col width="20.08984375" customWidth="1" style="55" min="3846" max="3846"/>
    <col width="37" customWidth="1" style="55" min="3847" max="3847"/>
    <col width="10" customWidth="1" style="55" min="3848" max="3848"/>
    <col width="12.7265625" customWidth="1" style="55" min="3849" max="3849"/>
    <col width="11.08984375" customWidth="1" style="55" min="3850" max="3850"/>
    <col width="13.26953125" customWidth="1" style="55" min="3851" max="3851"/>
    <col width="15.08984375" customWidth="1" style="55" min="3852" max="3852"/>
    <col width="8.7265625" customWidth="1" style="55" min="3853" max="4097"/>
    <col width="5" customWidth="1" style="55" min="4098" max="4098"/>
    <col width="4.26953125" customWidth="1" style="55" min="4099" max="4099"/>
    <col width="5.453125" customWidth="1" style="55" min="4100" max="4100"/>
    <col width="8.7265625" customWidth="1" style="55" min="4101" max="4101"/>
    <col width="20.08984375" customWidth="1" style="55" min="4102" max="4102"/>
    <col width="37" customWidth="1" style="55" min="4103" max="4103"/>
    <col width="10" customWidth="1" style="55" min="4104" max="4104"/>
    <col width="12.7265625" customWidth="1" style="55" min="4105" max="4105"/>
    <col width="11.08984375" customWidth="1" style="55" min="4106" max="4106"/>
    <col width="13.26953125" customWidth="1" style="55" min="4107" max="4107"/>
    <col width="15.08984375" customWidth="1" style="55" min="4108" max="4108"/>
    <col width="8.7265625" customWidth="1" style="55" min="4109" max="4353"/>
    <col width="5" customWidth="1" style="55" min="4354" max="4354"/>
    <col width="4.26953125" customWidth="1" style="55" min="4355" max="4355"/>
    <col width="5.453125" customWidth="1" style="55" min="4356" max="4356"/>
    <col width="8.7265625" customWidth="1" style="55" min="4357" max="4357"/>
    <col width="20.08984375" customWidth="1" style="55" min="4358" max="4358"/>
    <col width="37" customWidth="1" style="55" min="4359" max="4359"/>
    <col width="10" customWidth="1" style="55" min="4360" max="4360"/>
    <col width="12.7265625" customWidth="1" style="55" min="4361" max="4361"/>
    <col width="11.08984375" customWidth="1" style="55" min="4362" max="4362"/>
    <col width="13.26953125" customWidth="1" style="55" min="4363" max="4363"/>
    <col width="15.08984375" customWidth="1" style="55" min="4364" max="4364"/>
    <col width="8.7265625" customWidth="1" style="55" min="4365" max="4609"/>
    <col width="5" customWidth="1" style="55" min="4610" max="4610"/>
    <col width="4.26953125" customWidth="1" style="55" min="4611" max="4611"/>
    <col width="5.453125" customWidth="1" style="55" min="4612" max="4612"/>
    <col width="8.7265625" customWidth="1" style="55" min="4613" max="4613"/>
    <col width="20.08984375" customWidth="1" style="55" min="4614" max="4614"/>
    <col width="37" customWidth="1" style="55" min="4615" max="4615"/>
    <col width="10" customWidth="1" style="55" min="4616" max="4616"/>
    <col width="12.7265625" customWidth="1" style="55" min="4617" max="4617"/>
    <col width="11.08984375" customWidth="1" style="55" min="4618" max="4618"/>
    <col width="13.26953125" customWidth="1" style="55" min="4619" max="4619"/>
    <col width="15.08984375" customWidth="1" style="55" min="4620" max="4620"/>
    <col width="8.7265625" customWidth="1" style="55" min="4621" max="4865"/>
    <col width="5" customWidth="1" style="55" min="4866" max="4866"/>
    <col width="4.26953125" customWidth="1" style="55" min="4867" max="4867"/>
    <col width="5.453125" customWidth="1" style="55" min="4868" max="4868"/>
    <col width="8.7265625" customWidth="1" style="55" min="4869" max="4869"/>
    <col width="20.08984375" customWidth="1" style="55" min="4870" max="4870"/>
    <col width="37" customWidth="1" style="55" min="4871" max="4871"/>
    <col width="10" customWidth="1" style="55" min="4872" max="4872"/>
    <col width="12.7265625" customWidth="1" style="55" min="4873" max="4873"/>
    <col width="11.08984375" customWidth="1" style="55" min="4874" max="4874"/>
    <col width="13.26953125" customWidth="1" style="55" min="4875" max="4875"/>
    <col width="15.08984375" customWidth="1" style="55" min="4876" max="4876"/>
    <col width="8.7265625" customWidth="1" style="55" min="4877" max="5121"/>
    <col width="5" customWidth="1" style="55" min="5122" max="5122"/>
    <col width="4.26953125" customWidth="1" style="55" min="5123" max="5123"/>
    <col width="5.453125" customWidth="1" style="55" min="5124" max="5124"/>
    <col width="8.7265625" customWidth="1" style="55" min="5125" max="5125"/>
    <col width="20.08984375" customWidth="1" style="55" min="5126" max="5126"/>
    <col width="37" customWidth="1" style="55" min="5127" max="5127"/>
    <col width="10" customWidth="1" style="55" min="5128" max="5128"/>
    <col width="12.7265625" customWidth="1" style="55" min="5129" max="5129"/>
    <col width="11.08984375" customWidth="1" style="55" min="5130" max="5130"/>
    <col width="13.26953125" customWidth="1" style="55" min="5131" max="5131"/>
    <col width="15.08984375" customWidth="1" style="55" min="5132" max="5132"/>
    <col width="8.7265625" customWidth="1" style="55" min="5133" max="5377"/>
    <col width="5" customWidth="1" style="55" min="5378" max="5378"/>
    <col width="4.26953125" customWidth="1" style="55" min="5379" max="5379"/>
    <col width="5.453125" customWidth="1" style="55" min="5380" max="5380"/>
    <col width="8.7265625" customWidth="1" style="55" min="5381" max="5381"/>
    <col width="20.08984375" customWidth="1" style="55" min="5382" max="5382"/>
    <col width="37" customWidth="1" style="55" min="5383" max="5383"/>
    <col width="10" customWidth="1" style="55" min="5384" max="5384"/>
    <col width="12.7265625" customWidth="1" style="55" min="5385" max="5385"/>
    <col width="11.08984375" customWidth="1" style="55" min="5386" max="5386"/>
    <col width="13.26953125" customWidth="1" style="55" min="5387" max="5387"/>
    <col width="15.08984375" customWidth="1" style="55" min="5388" max="5388"/>
    <col width="8.7265625" customWidth="1" style="55" min="5389" max="5633"/>
    <col width="5" customWidth="1" style="55" min="5634" max="5634"/>
    <col width="4.26953125" customWidth="1" style="55" min="5635" max="5635"/>
    <col width="5.453125" customWidth="1" style="55" min="5636" max="5636"/>
    <col width="8.7265625" customWidth="1" style="55" min="5637" max="5637"/>
    <col width="20.08984375" customWidth="1" style="55" min="5638" max="5638"/>
    <col width="37" customWidth="1" style="55" min="5639" max="5639"/>
    <col width="10" customWidth="1" style="55" min="5640" max="5640"/>
    <col width="12.7265625" customWidth="1" style="55" min="5641" max="5641"/>
    <col width="11.08984375" customWidth="1" style="55" min="5642" max="5642"/>
    <col width="13.26953125" customWidth="1" style="55" min="5643" max="5643"/>
    <col width="15.08984375" customWidth="1" style="55" min="5644" max="5644"/>
    <col width="8.7265625" customWidth="1" style="55" min="5645" max="5889"/>
    <col width="5" customWidth="1" style="55" min="5890" max="5890"/>
    <col width="4.26953125" customWidth="1" style="55" min="5891" max="5891"/>
    <col width="5.453125" customWidth="1" style="55" min="5892" max="5892"/>
    <col width="8.7265625" customWidth="1" style="55" min="5893" max="5893"/>
    <col width="20.08984375" customWidth="1" style="55" min="5894" max="5894"/>
    <col width="37" customWidth="1" style="55" min="5895" max="5895"/>
    <col width="10" customWidth="1" style="55" min="5896" max="5896"/>
    <col width="12.7265625" customWidth="1" style="55" min="5897" max="5897"/>
    <col width="11.08984375" customWidth="1" style="55" min="5898" max="5898"/>
    <col width="13.26953125" customWidth="1" style="55" min="5899" max="5899"/>
    <col width="15.08984375" customWidth="1" style="55" min="5900" max="5900"/>
    <col width="8.7265625" customWidth="1" style="55" min="5901" max="6145"/>
    <col width="5" customWidth="1" style="55" min="6146" max="6146"/>
    <col width="4.26953125" customWidth="1" style="55" min="6147" max="6147"/>
    <col width="5.453125" customWidth="1" style="55" min="6148" max="6148"/>
    <col width="8.7265625" customWidth="1" style="55" min="6149" max="6149"/>
    <col width="20.08984375" customWidth="1" style="55" min="6150" max="6150"/>
    <col width="37" customWidth="1" style="55" min="6151" max="6151"/>
    <col width="10" customWidth="1" style="55" min="6152" max="6152"/>
    <col width="12.7265625" customWidth="1" style="55" min="6153" max="6153"/>
    <col width="11.08984375" customWidth="1" style="55" min="6154" max="6154"/>
    <col width="13.26953125" customWidth="1" style="55" min="6155" max="6155"/>
    <col width="15.08984375" customWidth="1" style="55" min="6156" max="6156"/>
    <col width="8.7265625" customWidth="1" style="55" min="6157" max="6401"/>
    <col width="5" customWidth="1" style="55" min="6402" max="6402"/>
    <col width="4.26953125" customWidth="1" style="55" min="6403" max="6403"/>
    <col width="5.453125" customWidth="1" style="55" min="6404" max="6404"/>
    <col width="8.7265625" customWidth="1" style="55" min="6405" max="6405"/>
    <col width="20.08984375" customWidth="1" style="55" min="6406" max="6406"/>
    <col width="37" customWidth="1" style="55" min="6407" max="6407"/>
    <col width="10" customWidth="1" style="55" min="6408" max="6408"/>
    <col width="12.7265625" customWidth="1" style="55" min="6409" max="6409"/>
    <col width="11.08984375" customWidth="1" style="55" min="6410" max="6410"/>
    <col width="13.26953125" customWidth="1" style="55" min="6411" max="6411"/>
    <col width="15.08984375" customWidth="1" style="55" min="6412" max="6412"/>
    <col width="8.7265625" customWidth="1" style="55" min="6413" max="6657"/>
    <col width="5" customWidth="1" style="55" min="6658" max="6658"/>
    <col width="4.26953125" customWidth="1" style="55" min="6659" max="6659"/>
    <col width="5.453125" customWidth="1" style="55" min="6660" max="6660"/>
    <col width="8.7265625" customWidth="1" style="55" min="6661" max="6661"/>
    <col width="20.08984375" customWidth="1" style="55" min="6662" max="6662"/>
    <col width="37" customWidth="1" style="55" min="6663" max="6663"/>
    <col width="10" customWidth="1" style="55" min="6664" max="6664"/>
    <col width="12.7265625" customWidth="1" style="55" min="6665" max="6665"/>
    <col width="11.08984375" customWidth="1" style="55" min="6666" max="6666"/>
    <col width="13.26953125" customWidth="1" style="55" min="6667" max="6667"/>
    <col width="15.08984375" customWidth="1" style="55" min="6668" max="6668"/>
    <col width="8.7265625" customWidth="1" style="55" min="6669" max="6913"/>
    <col width="5" customWidth="1" style="55" min="6914" max="6914"/>
    <col width="4.26953125" customWidth="1" style="55" min="6915" max="6915"/>
    <col width="5.453125" customWidth="1" style="55" min="6916" max="6916"/>
    <col width="8.7265625" customWidth="1" style="55" min="6917" max="6917"/>
    <col width="20.08984375" customWidth="1" style="55" min="6918" max="6918"/>
    <col width="37" customWidth="1" style="55" min="6919" max="6919"/>
    <col width="10" customWidth="1" style="55" min="6920" max="6920"/>
    <col width="12.7265625" customWidth="1" style="55" min="6921" max="6921"/>
    <col width="11.08984375" customWidth="1" style="55" min="6922" max="6922"/>
    <col width="13.26953125" customWidth="1" style="55" min="6923" max="6923"/>
    <col width="15.08984375" customWidth="1" style="55" min="6924" max="6924"/>
    <col width="8.7265625" customWidth="1" style="55" min="6925" max="7169"/>
    <col width="5" customWidth="1" style="55" min="7170" max="7170"/>
    <col width="4.26953125" customWidth="1" style="55" min="7171" max="7171"/>
    <col width="5.453125" customWidth="1" style="55" min="7172" max="7172"/>
    <col width="8.7265625" customWidth="1" style="55" min="7173" max="7173"/>
    <col width="20.08984375" customWidth="1" style="55" min="7174" max="7174"/>
    <col width="37" customWidth="1" style="55" min="7175" max="7175"/>
    <col width="10" customWidth="1" style="55" min="7176" max="7176"/>
    <col width="12.7265625" customWidth="1" style="55" min="7177" max="7177"/>
    <col width="11.08984375" customWidth="1" style="55" min="7178" max="7178"/>
    <col width="13.26953125" customWidth="1" style="55" min="7179" max="7179"/>
    <col width="15.08984375" customWidth="1" style="55" min="7180" max="7180"/>
    <col width="8.7265625" customWidth="1" style="55" min="7181" max="7425"/>
    <col width="5" customWidth="1" style="55" min="7426" max="7426"/>
    <col width="4.26953125" customWidth="1" style="55" min="7427" max="7427"/>
    <col width="5.453125" customWidth="1" style="55" min="7428" max="7428"/>
    <col width="8.7265625" customWidth="1" style="55" min="7429" max="7429"/>
    <col width="20.08984375" customWidth="1" style="55" min="7430" max="7430"/>
    <col width="37" customWidth="1" style="55" min="7431" max="7431"/>
    <col width="10" customWidth="1" style="55" min="7432" max="7432"/>
    <col width="12.7265625" customWidth="1" style="55" min="7433" max="7433"/>
    <col width="11.08984375" customWidth="1" style="55" min="7434" max="7434"/>
    <col width="13.26953125" customWidth="1" style="55" min="7435" max="7435"/>
    <col width="15.08984375" customWidth="1" style="55" min="7436" max="7436"/>
    <col width="8.7265625" customWidth="1" style="55" min="7437" max="7681"/>
    <col width="5" customWidth="1" style="55" min="7682" max="7682"/>
    <col width="4.26953125" customWidth="1" style="55" min="7683" max="7683"/>
    <col width="5.453125" customWidth="1" style="55" min="7684" max="7684"/>
    <col width="8.7265625" customWidth="1" style="55" min="7685" max="7685"/>
    <col width="20.08984375" customWidth="1" style="55" min="7686" max="7686"/>
    <col width="37" customWidth="1" style="55" min="7687" max="7687"/>
    <col width="10" customWidth="1" style="55" min="7688" max="7688"/>
    <col width="12.7265625" customWidth="1" style="55" min="7689" max="7689"/>
    <col width="11.08984375" customWidth="1" style="55" min="7690" max="7690"/>
    <col width="13.26953125" customWidth="1" style="55" min="7691" max="7691"/>
    <col width="15.08984375" customWidth="1" style="55" min="7692" max="7692"/>
    <col width="8.7265625" customWidth="1" style="55" min="7693" max="7937"/>
    <col width="5" customWidth="1" style="55" min="7938" max="7938"/>
    <col width="4.26953125" customWidth="1" style="55" min="7939" max="7939"/>
    <col width="5.453125" customWidth="1" style="55" min="7940" max="7940"/>
    <col width="8.7265625" customWidth="1" style="55" min="7941" max="7941"/>
    <col width="20.08984375" customWidth="1" style="55" min="7942" max="7942"/>
    <col width="37" customWidth="1" style="55" min="7943" max="7943"/>
    <col width="10" customWidth="1" style="55" min="7944" max="7944"/>
    <col width="12.7265625" customWidth="1" style="55" min="7945" max="7945"/>
    <col width="11.08984375" customWidth="1" style="55" min="7946" max="7946"/>
    <col width="13.26953125" customWidth="1" style="55" min="7947" max="7947"/>
    <col width="15.08984375" customWidth="1" style="55" min="7948" max="7948"/>
    <col width="8.7265625" customWidth="1" style="55" min="7949" max="8193"/>
    <col width="5" customWidth="1" style="55" min="8194" max="8194"/>
    <col width="4.26953125" customWidth="1" style="55" min="8195" max="8195"/>
    <col width="5.453125" customWidth="1" style="55" min="8196" max="8196"/>
    <col width="8.7265625" customWidth="1" style="55" min="8197" max="8197"/>
    <col width="20.08984375" customWidth="1" style="55" min="8198" max="8198"/>
    <col width="37" customWidth="1" style="55" min="8199" max="8199"/>
    <col width="10" customWidth="1" style="55" min="8200" max="8200"/>
    <col width="12.7265625" customWidth="1" style="55" min="8201" max="8201"/>
    <col width="11.08984375" customWidth="1" style="55" min="8202" max="8202"/>
    <col width="13.26953125" customWidth="1" style="55" min="8203" max="8203"/>
    <col width="15.08984375" customWidth="1" style="55" min="8204" max="8204"/>
    <col width="8.7265625" customWidth="1" style="55" min="8205" max="8449"/>
    <col width="5" customWidth="1" style="55" min="8450" max="8450"/>
    <col width="4.26953125" customWidth="1" style="55" min="8451" max="8451"/>
    <col width="5.453125" customWidth="1" style="55" min="8452" max="8452"/>
    <col width="8.7265625" customWidth="1" style="55" min="8453" max="8453"/>
    <col width="20.08984375" customWidth="1" style="55" min="8454" max="8454"/>
    <col width="37" customWidth="1" style="55" min="8455" max="8455"/>
    <col width="10" customWidth="1" style="55" min="8456" max="8456"/>
    <col width="12.7265625" customWidth="1" style="55" min="8457" max="8457"/>
    <col width="11.08984375" customWidth="1" style="55" min="8458" max="8458"/>
    <col width="13.26953125" customWidth="1" style="55" min="8459" max="8459"/>
    <col width="15.08984375" customWidth="1" style="55" min="8460" max="8460"/>
    <col width="8.7265625" customWidth="1" style="55" min="8461" max="8705"/>
    <col width="5" customWidth="1" style="55" min="8706" max="8706"/>
    <col width="4.26953125" customWidth="1" style="55" min="8707" max="8707"/>
    <col width="5.453125" customWidth="1" style="55" min="8708" max="8708"/>
    <col width="8.7265625" customWidth="1" style="55" min="8709" max="8709"/>
    <col width="20.08984375" customWidth="1" style="55" min="8710" max="8710"/>
    <col width="37" customWidth="1" style="55" min="8711" max="8711"/>
    <col width="10" customWidth="1" style="55" min="8712" max="8712"/>
    <col width="12.7265625" customWidth="1" style="55" min="8713" max="8713"/>
    <col width="11.08984375" customWidth="1" style="55" min="8714" max="8714"/>
    <col width="13.26953125" customWidth="1" style="55" min="8715" max="8715"/>
    <col width="15.08984375" customWidth="1" style="55" min="8716" max="8716"/>
    <col width="8.7265625" customWidth="1" style="55" min="8717" max="8961"/>
    <col width="5" customWidth="1" style="55" min="8962" max="8962"/>
    <col width="4.26953125" customWidth="1" style="55" min="8963" max="8963"/>
    <col width="5.453125" customWidth="1" style="55" min="8964" max="8964"/>
    <col width="8.7265625" customWidth="1" style="55" min="8965" max="8965"/>
    <col width="20.08984375" customWidth="1" style="55" min="8966" max="8966"/>
    <col width="37" customWidth="1" style="55" min="8967" max="8967"/>
    <col width="10" customWidth="1" style="55" min="8968" max="8968"/>
    <col width="12.7265625" customWidth="1" style="55" min="8969" max="8969"/>
    <col width="11.08984375" customWidth="1" style="55" min="8970" max="8970"/>
    <col width="13.26953125" customWidth="1" style="55" min="8971" max="8971"/>
    <col width="15.08984375" customWidth="1" style="55" min="8972" max="8972"/>
    <col width="8.7265625" customWidth="1" style="55" min="8973" max="9217"/>
    <col width="5" customWidth="1" style="55" min="9218" max="9218"/>
    <col width="4.26953125" customWidth="1" style="55" min="9219" max="9219"/>
    <col width="5.453125" customWidth="1" style="55" min="9220" max="9220"/>
    <col width="8.7265625" customWidth="1" style="55" min="9221" max="9221"/>
    <col width="20.08984375" customWidth="1" style="55" min="9222" max="9222"/>
    <col width="37" customWidth="1" style="55" min="9223" max="9223"/>
    <col width="10" customWidth="1" style="55" min="9224" max="9224"/>
    <col width="12.7265625" customWidth="1" style="55" min="9225" max="9225"/>
    <col width="11.08984375" customWidth="1" style="55" min="9226" max="9226"/>
    <col width="13.26953125" customWidth="1" style="55" min="9227" max="9227"/>
    <col width="15.08984375" customWidth="1" style="55" min="9228" max="9228"/>
    <col width="8.7265625" customWidth="1" style="55" min="9229" max="9473"/>
    <col width="5" customWidth="1" style="55" min="9474" max="9474"/>
    <col width="4.26953125" customWidth="1" style="55" min="9475" max="9475"/>
    <col width="5.453125" customWidth="1" style="55" min="9476" max="9476"/>
    <col width="8.7265625" customWidth="1" style="55" min="9477" max="9477"/>
    <col width="20.08984375" customWidth="1" style="55" min="9478" max="9478"/>
    <col width="37" customWidth="1" style="55" min="9479" max="9479"/>
    <col width="10" customWidth="1" style="55" min="9480" max="9480"/>
    <col width="12.7265625" customWidth="1" style="55" min="9481" max="9481"/>
    <col width="11.08984375" customWidth="1" style="55" min="9482" max="9482"/>
    <col width="13.26953125" customWidth="1" style="55" min="9483" max="9483"/>
    <col width="15.08984375" customWidth="1" style="55" min="9484" max="9484"/>
    <col width="8.7265625" customWidth="1" style="55" min="9485" max="9729"/>
    <col width="5" customWidth="1" style="55" min="9730" max="9730"/>
    <col width="4.26953125" customWidth="1" style="55" min="9731" max="9731"/>
    <col width="5.453125" customWidth="1" style="55" min="9732" max="9732"/>
    <col width="8.7265625" customWidth="1" style="55" min="9733" max="9733"/>
    <col width="20.08984375" customWidth="1" style="55" min="9734" max="9734"/>
    <col width="37" customWidth="1" style="55" min="9735" max="9735"/>
    <col width="10" customWidth="1" style="55" min="9736" max="9736"/>
    <col width="12.7265625" customWidth="1" style="55" min="9737" max="9737"/>
    <col width="11.08984375" customWidth="1" style="55" min="9738" max="9738"/>
    <col width="13.26953125" customWidth="1" style="55" min="9739" max="9739"/>
    <col width="15.08984375" customWidth="1" style="55" min="9740" max="9740"/>
    <col width="8.7265625" customWidth="1" style="55" min="9741" max="9985"/>
    <col width="5" customWidth="1" style="55" min="9986" max="9986"/>
    <col width="4.26953125" customWidth="1" style="55" min="9987" max="9987"/>
    <col width="5.453125" customWidth="1" style="55" min="9988" max="9988"/>
    <col width="8.7265625" customWidth="1" style="55" min="9989" max="9989"/>
    <col width="20.08984375" customWidth="1" style="55" min="9990" max="9990"/>
    <col width="37" customWidth="1" style="55" min="9991" max="9991"/>
    <col width="10" customWidth="1" style="55" min="9992" max="9992"/>
    <col width="12.7265625" customWidth="1" style="55" min="9993" max="9993"/>
    <col width="11.08984375" customWidth="1" style="55" min="9994" max="9994"/>
    <col width="13.26953125" customWidth="1" style="55" min="9995" max="9995"/>
    <col width="15.08984375" customWidth="1" style="55" min="9996" max="9996"/>
    <col width="8.7265625" customWidth="1" style="55" min="9997" max="10241"/>
    <col width="5" customWidth="1" style="55" min="10242" max="10242"/>
    <col width="4.26953125" customWidth="1" style="55" min="10243" max="10243"/>
    <col width="5.453125" customWidth="1" style="55" min="10244" max="10244"/>
    <col width="8.7265625" customWidth="1" style="55" min="10245" max="10245"/>
    <col width="20.08984375" customWidth="1" style="55" min="10246" max="10246"/>
    <col width="37" customWidth="1" style="55" min="10247" max="10247"/>
    <col width="10" customWidth="1" style="55" min="10248" max="10248"/>
    <col width="12.7265625" customWidth="1" style="55" min="10249" max="10249"/>
    <col width="11.08984375" customWidth="1" style="55" min="10250" max="10250"/>
    <col width="13.26953125" customWidth="1" style="55" min="10251" max="10251"/>
    <col width="15.08984375" customWidth="1" style="55" min="10252" max="10252"/>
    <col width="8.7265625" customWidth="1" style="55" min="10253" max="10497"/>
    <col width="5" customWidth="1" style="55" min="10498" max="10498"/>
    <col width="4.26953125" customWidth="1" style="55" min="10499" max="10499"/>
    <col width="5.453125" customWidth="1" style="55" min="10500" max="10500"/>
    <col width="8.7265625" customWidth="1" style="55" min="10501" max="10501"/>
    <col width="20.08984375" customWidth="1" style="55" min="10502" max="10502"/>
    <col width="37" customWidth="1" style="55" min="10503" max="10503"/>
    <col width="10" customWidth="1" style="55" min="10504" max="10504"/>
    <col width="12.7265625" customWidth="1" style="55" min="10505" max="10505"/>
    <col width="11.08984375" customWidth="1" style="55" min="10506" max="10506"/>
    <col width="13.26953125" customWidth="1" style="55" min="10507" max="10507"/>
    <col width="15.08984375" customWidth="1" style="55" min="10508" max="10508"/>
    <col width="8.7265625" customWidth="1" style="55" min="10509" max="10753"/>
    <col width="5" customWidth="1" style="55" min="10754" max="10754"/>
    <col width="4.26953125" customWidth="1" style="55" min="10755" max="10755"/>
    <col width="5.453125" customWidth="1" style="55" min="10756" max="10756"/>
    <col width="8.7265625" customWidth="1" style="55" min="10757" max="10757"/>
    <col width="20.08984375" customWidth="1" style="55" min="10758" max="10758"/>
    <col width="37" customWidth="1" style="55" min="10759" max="10759"/>
    <col width="10" customWidth="1" style="55" min="10760" max="10760"/>
    <col width="12.7265625" customWidth="1" style="55" min="10761" max="10761"/>
    <col width="11.08984375" customWidth="1" style="55" min="10762" max="10762"/>
    <col width="13.26953125" customWidth="1" style="55" min="10763" max="10763"/>
    <col width="15.08984375" customWidth="1" style="55" min="10764" max="10764"/>
    <col width="8.7265625" customWidth="1" style="55" min="10765" max="11009"/>
    <col width="5" customWidth="1" style="55" min="11010" max="11010"/>
    <col width="4.26953125" customWidth="1" style="55" min="11011" max="11011"/>
    <col width="5.453125" customWidth="1" style="55" min="11012" max="11012"/>
    <col width="8.7265625" customWidth="1" style="55" min="11013" max="11013"/>
    <col width="20.08984375" customWidth="1" style="55" min="11014" max="11014"/>
    <col width="37" customWidth="1" style="55" min="11015" max="11015"/>
    <col width="10" customWidth="1" style="55" min="11016" max="11016"/>
    <col width="12.7265625" customWidth="1" style="55" min="11017" max="11017"/>
    <col width="11.08984375" customWidth="1" style="55" min="11018" max="11018"/>
    <col width="13.26953125" customWidth="1" style="55" min="11019" max="11019"/>
    <col width="15.08984375" customWidth="1" style="55" min="11020" max="11020"/>
    <col width="8.7265625" customWidth="1" style="55" min="11021" max="11265"/>
    <col width="5" customWidth="1" style="55" min="11266" max="11266"/>
    <col width="4.26953125" customWidth="1" style="55" min="11267" max="11267"/>
    <col width="5.453125" customWidth="1" style="55" min="11268" max="11268"/>
    <col width="8.7265625" customWidth="1" style="55" min="11269" max="11269"/>
    <col width="20.08984375" customWidth="1" style="55" min="11270" max="11270"/>
    <col width="37" customWidth="1" style="55" min="11271" max="11271"/>
    <col width="10" customWidth="1" style="55" min="11272" max="11272"/>
    <col width="12.7265625" customWidth="1" style="55" min="11273" max="11273"/>
    <col width="11.08984375" customWidth="1" style="55" min="11274" max="11274"/>
    <col width="13.26953125" customWidth="1" style="55" min="11275" max="11275"/>
    <col width="15.08984375" customWidth="1" style="55" min="11276" max="11276"/>
    <col width="8.7265625" customWidth="1" style="55" min="11277" max="11521"/>
    <col width="5" customWidth="1" style="55" min="11522" max="11522"/>
    <col width="4.26953125" customWidth="1" style="55" min="11523" max="11523"/>
    <col width="5.453125" customWidth="1" style="55" min="11524" max="11524"/>
    <col width="8.7265625" customWidth="1" style="55" min="11525" max="11525"/>
    <col width="20.08984375" customWidth="1" style="55" min="11526" max="11526"/>
    <col width="37" customWidth="1" style="55" min="11527" max="11527"/>
    <col width="10" customWidth="1" style="55" min="11528" max="11528"/>
    <col width="12.7265625" customWidth="1" style="55" min="11529" max="11529"/>
    <col width="11.08984375" customWidth="1" style="55" min="11530" max="11530"/>
    <col width="13.26953125" customWidth="1" style="55" min="11531" max="11531"/>
    <col width="15.08984375" customWidth="1" style="55" min="11532" max="11532"/>
    <col width="8.7265625" customWidth="1" style="55" min="11533" max="11777"/>
    <col width="5" customWidth="1" style="55" min="11778" max="11778"/>
    <col width="4.26953125" customWidth="1" style="55" min="11779" max="11779"/>
    <col width="5.453125" customWidth="1" style="55" min="11780" max="11780"/>
    <col width="8.7265625" customWidth="1" style="55" min="11781" max="11781"/>
    <col width="20.08984375" customWidth="1" style="55" min="11782" max="11782"/>
    <col width="37" customWidth="1" style="55" min="11783" max="11783"/>
    <col width="10" customWidth="1" style="55" min="11784" max="11784"/>
    <col width="12.7265625" customWidth="1" style="55" min="11785" max="11785"/>
    <col width="11.08984375" customWidth="1" style="55" min="11786" max="11786"/>
    <col width="13.26953125" customWidth="1" style="55" min="11787" max="11787"/>
    <col width="15.08984375" customWidth="1" style="55" min="11788" max="11788"/>
    <col width="8.7265625" customWidth="1" style="55" min="11789" max="12033"/>
    <col width="5" customWidth="1" style="55" min="12034" max="12034"/>
    <col width="4.26953125" customWidth="1" style="55" min="12035" max="12035"/>
    <col width="5.453125" customWidth="1" style="55" min="12036" max="12036"/>
    <col width="8.7265625" customWidth="1" style="55" min="12037" max="12037"/>
    <col width="20.08984375" customWidth="1" style="55" min="12038" max="12038"/>
    <col width="37" customWidth="1" style="55" min="12039" max="12039"/>
    <col width="10" customWidth="1" style="55" min="12040" max="12040"/>
    <col width="12.7265625" customWidth="1" style="55" min="12041" max="12041"/>
    <col width="11.08984375" customWidth="1" style="55" min="12042" max="12042"/>
    <col width="13.26953125" customWidth="1" style="55" min="12043" max="12043"/>
    <col width="15.08984375" customWidth="1" style="55" min="12044" max="12044"/>
    <col width="8.7265625" customWidth="1" style="55" min="12045" max="12289"/>
    <col width="5" customWidth="1" style="55" min="12290" max="12290"/>
    <col width="4.26953125" customWidth="1" style="55" min="12291" max="12291"/>
    <col width="5.453125" customWidth="1" style="55" min="12292" max="12292"/>
    <col width="8.7265625" customWidth="1" style="55" min="12293" max="12293"/>
    <col width="20.08984375" customWidth="1" style="55" min="12294" max="12294"/>
    <col width="37" customWidth="1" style="55" min="12295" max="12295"/>
    <col width="10" customWidth="1" style="55" min="12296" max="12296"/>
    <col width="12.7265625" customWidth="1" style="55" min="12297" max="12297"/>
    <col width="11.08984375" customWidth="1" style="55" min="12298" max="12298"/>
    <col width="13.26953125" customWidth="1" style="55" min="12299" max="12299"/>
    <col width="15.08984375" customWidth="1" style="55" min="12300" max="12300"/>
    <col width="8.7265625" customWidth="1" style="55" min="12301" max="12545"/>
    <col width="5" customWidth="1" style="55" min="12546" max="12546"/>
    <col width="4.26953125" customWidth="1" style="55" min="12547" max="12547"/>
    <col width="5.453125" customWidth="1" style="55" min="12548" max="12548"/>
    <col width="8.7265625" customWidth="1" style="55" min="12549" max="12549"/>
    <col width="20.08984375" customWidth="1" style="55" min="12550" max="12550"/>
    <col width="37" customWidth="1" style="55" min="12551" max="12551"/>
    <col width="10" customWidth="1" style="55" min="12552" max="12552"/>
    <col width="12.7265625" customWidth="1" style="55" min="12553" max="12553"/>
    <col width="11.08984375" customWidth="1" style="55" min="12554" max="12554"/>
    <col width="13.26953125" customWidth="1" style="55" min="12555" max="12555"/>
    <col width="15.08984375" customWidth="1" style="55" min="12556" max="12556"/>
    <col width="8.7265625" customWidth="1" style="55" min="12557" max="12801"/>
    <col width="5" customWidth="1" style="55" min="12802" max="12802"/>
    <col width="4.26953125" customWidth="1" style="55" min="12803" max="12803"/>
    <col width="5.453125" customWidth="1" style="55" min="12804" max="12804"/>
    <col width="8.7265625" customWidth="1" style="55" min="12805" max="12805"/>
    <col width="20.08984375" customWidth="1" style="55" min="12806" max="12806"/>
    <col width="37" customWidth="1" style="55" min="12807" max="12807"/>
    <col width="10" customWidth="1" style="55" min="12808" max="12808"/>
    <col width="12.7265625" customWidth="1" style="55" min="12809" max="12809"/>
    <col width="11.08984375" customWidth="1" style="55" min="12810" max="12810"/>
    <col width="13.26953125" customWidth="1" style="55" min="12811" max="12811"/>
    <col width="15.08984375" customWidth="1" style="55" min="12812" max="12812"/>
    <col width="8.7265625" customWidth="1" style="55" min="12813" max="13057"/>
    <col width="5" customWidth="1" style="55" min="13058" max="13058"/>
    <col width="4.26953125" customWidth="1" style="55" min="13059" max="13059"/>
    <col width="5.453125" customWidth="1" style="55" min="13060" max="13060"/>
    <col width="8.7265625" customWidth="1" style="55" min="13061" max="13061"/>
    <col width="20.08984375" customWidth="1" style="55" min="13062" max="13062"/>
    <col width="37" customWidth="1" style="55" min="13063" max="13063"/>
    <col width="10" customWidth="1" style="55" min="13064" max="13064"/>
    <col width="12.7265625" customWidth="1" style="55" min="13065" max="13065"/>
    <col width="11.08984375" customWidth="1" style="55" min="13066" max="13066"/>
    <col width="13.26953125" customWidth="1" style="55" min="13067" max="13067"/>
    <col width="15.08984375" customWidth="1" style="55" min="13068" max="13068"/>
    <col width="8.7265625" customWidth="1" style="55" min="13069" max="13313"/>
    <col width="5" customWidth="1" style="55" min="13314" max="13314"/>
    <col width="4.26953125" customWidth="1" style="55" min="13315" max="13315"/>
    <col width="5.453125" customWidth="1" style="55" min="13316" max="13316"/>
    <col width="8.7265625" customWidth="1" style="55" min="13317" max="13317"/>
    <col width="20.08984375" customWidth="1" style="55" min="13318" max="13318"/>
    <col width="37" customWidth="1" style="55" min="13319" max="13319"/>
    <col width="10" customWidth="1" style="55" min="13320" max="13320"/>
    <col width="12.7265625" customWidth="1" style="55" min="13321" max="13321"/>
    <col width="11.08984375" customWidth="1" style="55" min="13322" max="13322"/>
    <col width="13.26953125" customWidth="1" style="55" min="13323" max="13323"/>
    <col width="15.08984375" customWidth="1" style="55" min="13324" max="13324"/>
    <col width="8.7265625" customWidth="1" style="55" min="13325" max="13569"/>
    <col width="5" customWidth="1" style="55" min="13570" max="13570"/>
    <col width="4.26953125" customWidth="1" style="55" min="13571" max="13571"/>
    <col width="5.453125" customWidth="1" style="55" min="13572" max="13572"/>
    <col width="8.7265625" customWidth="1" style="55" min="13573" max="13573"/>
    <col width="20.08984375" customWidth="1" style="55" min="13574" max="13574"/>
    <col width="37" customWidth="1" style="55" min="13575" max="13575"/>
    <col width="10" customWidth="1" style="55" min="13576" max="13576"/>
    <col width="12.7265625" customWidth="1" style="55" min="13577" max="13577"/>
    <col width="11.08984375" customWidth="1" style="55" min="13578" max="13578"/>
    <col width="13.26953125" customWidth="1" style="55" min="13579" max="13579"/>
    <col width="15.08984375" customWidth="1" style="55" min="13580" max="13580"/>
    <col width="8.7265625" customWidth="1" style="55" min="13581" max="13825"/>
    <col width="5" customWidth="1" style="55" min="13826" max="13826"/>
    <col width="4.26953125" customWidth="1" style="55" min="13827" max="13827"/>
    <col width="5.453125" customWidth="1" style="55" min="13828" max="13828"/>
    <col width="8.7265625" customWidth="1" style="55" min="13829" max="13829"/>
    <col width="20.08984375" customWidth="1" style="55" min="13830" max="13830"/>
    <col width="37" customWidth="1" style="55" min="13831" max="13831"/>
    <col width="10" customWidth="1" style="55" min="13832" max="13832"/>
    <col width="12.7265625" customWidth="1" style="55" min="13833" max="13833"/>
    <col width="11.08984375" customWidth="1" style="55" min="13834" max="13834"/>
    <col width="13.26953125" customWidth="1" style="55" min="13835" max="13835"/>
    <col width="15.08984375" customWidth="1" style="55" min="13836" max="13836"/>
    <col width="8.7265625" customWidth="1" style="55" min="13837" max="14081"/>
    <col width="5" customWidth="1" style="55" min="14082" max="14082"/>
    <col width="4.26953125" customWidth="1" style="55" min="14083" max="14083"/>
    <col width="5.453125" customWidth="1" style="55" min="14084" max="14084"/>
    <col width="8.7265625" customWidth="1" style="55" min="14085" max="14085"/>
    <col width="20.08984375" customWidth="1" style="55" min="14086" max="14086"/>
    <col width="37" customWidth="1" style="55" min="14087" max="14087"/>
    <col width="10" customWidth="1" style="55" min="14088" max="14088"/>
    <col width="12.7265625" customWidth="1" style="55" min="14089" max="14089"/>
    <col width="11.08984375" customWidth="1" style="55" min="14090" max="14090"/>
    <col width="13.26953125" customWidth="1" style="55" min="14091" max="14091"/>
    <col width="15.08984375" customWidth="1" style="55" min="14092" max="14092"/>
    <col width="8.7265625" customWidth="1" style="55" min="14093" max="14337"/>
    <col width="5" customWidth="1" style="55" min="14338" max="14338"/>
    <col width="4.26953125" customWidth="1" style="55" min="14339" max="14339"/>
    <col width="5.453125" customWidth="1" style="55" min="14340" max="14340"/>
    <col width="8.7265625" customWidth="1" style="55" min="14341" max="14341"/>
    <col width="20.08984375" customWidth="1" style="55" min="14342" max="14342"/>
    <col width="37" customWidth="1" style="55" min="14343" max="14343"/>
    <col width="10" customWidth="1" style="55" min="14344" max="14344"/>
    <col width="12.7265625" customWidth="1" style="55" min="14345" max="14345"/>
    <col width="11.08984375" customWidth="1" style="55" min="14346" max="14346"/>
    <col width="13.26953125" customWidth="1" style="55" min="14347" max="14347"/>
    <col width="15.08984375" customWidth="1" style="55" min="14348" max="14348"/>
    <col width="8.7265625" customWidth="1" style="55" min="14349" max="14593"/>
    <col width="5" customWidth="1" style="55" min="14594" max="14594"/>
    <col width="4.26953125" customWidth="1" style="55" min="14595" max="14595"/>
    <col width="5.453125" customWidth="1" style="55" min="14596" max="14596"/>
    <col width="8.7265625" customWidth="1" style="55" min="14597" max="14597"/>
    <col width="20.08984375" customWidth="1" style="55" min="14598" max="14598"/>
    <col width="37" customWidth="1" style="55" min="14599" max="14599"/>
    <col width="10" customWidth="1" style="55" min="14600" max="14600"/>
    <col width="12.7265625" customWidth="1" style="55" min="14601" max="14601"/>
    <col width="11.08984375" customWidth="1" style="55" min="14602" max="14602"/>
    <col width="13.26953125" customWidth="1" style="55" min="14603" max="14603"/>
    <col width="15.08984375" customWidth="1" style="55" min="14604" max="14604"/>
    <col width="8.7265625" customWidth="1" style="55" min="14605" max="14849"/>
    <col width="5" customWidth="1" style="55" min="14850" max="14850"/>
    <col width="4.26953125" customWidth="1" style="55" min="14851" max="14851"/>
    <col width="5.453125" customWidth="1" style="55" min="14852" max="14852"/>
    <col width="8.7265625" customWidth="1" style="55" min="14853" max="14853"/>
    <col width="20.08984375" customWidth="1" style="55" min="14854" max="14854"/>
    <col width="37" customWidth="1" style="55" min="14855" max="14855"/>
    <col width="10" customWidth="1" style="55" min="14856" max="14856"/>
    <col width="12.7265625" customWidth="1" style="55" min="14857" max="14857"/>
    <col width="11.08984375" customWidth="1" style="55" min="14858" max="14858"/>
    <col width="13.26953125" customWidth="1" style="55" min="14859" max="14859"/>
    <col width="15.08984375" customWidth="1" style="55" min="14860" max="14860"/>
    <col width="8.7265625" customWidth="1" style="55" min="14861" max="15105"/>
    <col width="5" customWidth="1" style="55" min="15106" max="15106"/>
    <col width="4.26953125" customWidth="1" style="55" min="15107" max="15107"/>
    <col width="5.453125" customWidth="1" style="55" min="15108" max="15108"/>
    <col width="8.7265625" customWidth="1" style="55" min="15109" max="15109"/>
    <col width="20.08984375" customWidth="1" style="55" min="15110" max="15110"/>
    <col width="37" customWidth="1" style="55" min="15111" max="15111"/>
    <col width="10" customWidth="1" style="55" min="15112" max="15112"/>
    <col width="12.7265625" customWidth="1" style="55" min="15113" max="15113"/>
    <col width="11.08984375" customWidth="1" style="55" min="15114" max="15114"/>
    <col width="13.26953125" customWidth="1" style="55" min="15115" max="15115"/>
    <col width="15.08984375" customWidth="1" style="55" min="15116" max="15116"/>
    <col width="8.7265625" customWidth="1" style="55" min="15117" max="15361"/>
    <col width="5" customWidth="1" style="55" min="15362" max="15362"/>
    <col width="4.26953125" customWidth="1" style="55" min="15363" max="15363"/>
    <col width="5.453125" customWidth="1" style="55" min="15364" max="15364"/>
    <col width="8.7265625" customWidth="1" style="55" min="15365" max="15365"/>
    <col width="20.08984375" customWidth="1" style="55" min="15366" max="15366"/>
    <col width="37" customWidth="1" style="55" min="15367" max="15367"/>
    <col width="10" customWidth="1" style="55" min="15368" max="15368"/>
    <col width="12.7265625" customWidth="1" style="55" min="15369" max="15369"/>
    <col width="11.08984375" customWidth="1" style="55" min="15370" max="15370"/>
    <col width="13.26953125" customWidth="1" style="55" min="15371" max="15371"/>
    <col width="15.08984375" customWidth="1" style="55" min="15372" max="15372"/>
    <col width="8.7265625" customWidth="1" style="55" min="15373" max="15617"/>
    <col width="5" customWidth="1" style="55" min="15618" max="15618"/>
    <col width="4.26953125" customWidth="1" style="55" min="15619" max="15619"/>
    <col width="5.453125" customWidth="1" style="55" min="15620" max="15620"/>
    <col width="8.7265625" customWidth="1" style="55" min="15621" max="15621"/>
    <col width="20.08984375" customWidth="1" style="55" min="15622" max="15622"/>
    <col width="37" customWidth="1" style="55" min="15623" max="15623"/>
    <col width="10" customWidth="1" style="55" min="15624" max="15624"/>
    <col width="12.7265625" customWidth="1" style="55" min="15625" max="15625"/>
    <col width="11.08984375" customWidth="1" style="55" min="15626" max="15626"/>
    <col width="13.26953125" customWidth="1" style="55" min="15627" max="15627"/>
    <col width="15.08984375" customWidth="1" style="55" min="15628" max="15628"/>
    <col width="8.7265625" customWidth="1" style="55" min="15629" max="15873"/>
    <col width="5" customWidth="1" style="55" min="15874" max="15874"/>
    <col width="4.26953125" customWidth="1" style="55" min="15875" max="15875"/>
    <col width="5.453125" customWidth="1" style="55" min="15876" max="15876"/>
    <col width="8.7265625" customWidth="1" style="55" min="15877" max="15877"/>
    <col width="20.08984375" customWidth="1" style="55" min="15878" max="15878"/>
    <col width="37" customWidth="1" style="55" min="15879" max="15879"/>
    <col width="10" customWidth="1" style="55" min="15880" max="15880"/>
    <col width="12.7265625" customWidth="1" style="55" min="15881" max="15881"/>
    <col width="11.08984375" customWidth="1" style="55" min="15882" max="15882"/>
    <col width="13.26953125" customWidth="1" style="55" min="15883" max="15883"/>
    <col width="15.08984375" customWidth="1" style="55" min="15884" max="15884"/>
    <col width="8.7265625" customWidth="1" style="55" min="15885" max="16129"/>
    <col width="5" customWidth="1" style="55" min="16130" max="16130"/>
    <col width="4.26953125" customWidth="1" style="55" min="16131" max="16131"/>
    <col width="5.453125" customWidth="1" style="55" min="16132" max="16132"/>
    <col width="8.7265625" customWidth="1" style="55" min="16133" max="16133"/>
    <col width="20.08984375" customWidth="1" style="55" min="16134" max="16134"/>
    <col width="37" customWidth="1" style="55" min="16135" max="16135"/>
    <col width="10" customWidth="1" style="55" min="16136" max="16136"/>
    <col width="12.7265625" customWidth="1" style="55" min="16137" max="16137"/>
    <col width="11.08984375" customWidth="1" style="55" min="16138" max="16138"/>
    <col width="13.26953125" customWidth="1" style="55" min="16139" max="16139"/>
    <col width="15.08984375" customWidth="1" style="55" min="16140" max="16140"/>
    <col width="8.7265625" customWidth="1" style="55" min="16141" max="16384"/>
  </cols>
  <sheetData>
    <row r="1" ht="25" customFormat="1" customHeight="1" s="1">
      <c r="A1" s="110" t="inlineStr">
        <is>
          <t>COMART CORPORATION</t>
        </is>
      </c>
    </row>
    <row r="2" ht="25" customFormat="1" customHeight="1" s="1">
      <c r="A2" s="111" t="inlineStr">
        <is>
          <t>TEL:+886-2-89111133   FAX:+886-2-86653056</t>
        </is>
      </c>
    </row>
    <row r="3" ht="25" customFormat="1" customHeight="1" s="1">
      <c r="A3" s="111" t="inlineStr">
        <is>
          <t>3F., No.12, Lane 235, Baociao Rd., Sindian Dist, New Taipei City 23145, Taiwan, R.O.C.</t>
        </is>
      </c>
    </row>
    <row r="4" ht="25" customFormat="1" customHeight="1" s="1">
      <c r="A4" s="112" t="inlineStr">
        <is>
          <t>PACKING LIST</t>
        </is>
      </c>
    </row>
    <row r="5" ht="23.15" customFormat="1" customHeight="1" s="1">
      <c r="A5" s="2" t="inlineStr">
        <is>
          <t>CONSIGNEE: SCOSCHE INDUSTRIES INC.</t>
        </is>
      </c>
      <c r="B5" s="2" t="n"/>
      <c r="C5" s="2" t="n"/>
      <c r="D5" s="122" t="n"/>
      <c r="E5" s="122" t="n"/>
      <c r="F5" s="4" t="n"/>
      <c r="G5" s="2" t="n"/>
      <c r="H5" s="2" t="n"/>
      <c r="I5" s="2" t="n"/>
      <c r="K5" s="2" t="n"/>
      <c r="L5" s="123" t="n"/>
    </row>
    <row r="6" ht="23.15" customFormat="1" customHeight="1" s="1">
      <c r="A6" s="2" t="inlineStr">
        <is>
          <t>SHIP TO: 188 COMMERCE WAY, SPRUCE PINE, AL 35585-4138 , USA</t>
        </is>
      </c>
      <c r="B6" s="2" t="n"/>
      <c r="C6" s="2" t="n"/>
      <c r="D6" s="122" t="n"/>
      <c r="E6" s="122" t="n"/>
      <c r="F6" s="4" t="n"/>
      <c r="G6" s="2" t="n"/>
      <c r="H6" s="2" t="n"/>
      <c r="I6" s="123" t="n"/>
      <c r="J6" s="123" t="n"/>
      <c r="K6" s="123" t="n"/>
    </row>
    <row r="7" ht="23.15" customFormat="1" customHeight="1" s="1">
      <c r="A7" s="2" t="inlineStr">
        <is>
          <t>ATTN: SCOTT MONTGOMERY</t>
        </is>
      </c>
      <c r="B7" s="2" t="n"/>
      <c r="C7" s="2" t="n"/>
      <c r="D7" s="122" t="n"/>
      <c r="E7" s="122" t="n"/>
      <c r="F7" s="4" t="n"/>
      <c r="G7" s="2" t="n"/>
      <c r="H7" s="2" t="n"/>
      <c r="I7" s="123" t="n"/>
      <c r="J7" s="123" t="inlineStr">
        <is>
          <t xml:space="preserve">INV: </t>
        </is>
      </c>
      <c r="K7" s="124" t="n"/>
    </row>
    <row r="8" ht="23.15" customFormat="1" customHeight="1" s="1">
      <c r="A8" s="2" t="inlineStr">
        <is>
          <t>EIN: 95-3659275</t>
        </is>
      </c>
      <c r="B8" s="2" t="n"/>
      <c r="C8" s="2" t="n"/>
      <c r="D8" s="122" t="n"/>
      <c r="E8" s="122" t="n"/>
      <c r="F8" s="4" t="n"/>
      <c r="G8" s="2" t="n"/>
      <c r="H8" s="2" t="n"/>
      <c r="I8" s="124" t="n"/>
      <c r="J8" s="124" t="inlineStr">
        <is>
          <t>PO: 163103</t>
        </is>
      </c>
      <c r="K8" s="124" t="n"/>
    </row>
    <row r="9" ht="23.15" customFormat="1" customHeight="1" s="1">
      <c r="A9" s="2" t="inlineStr">
        <is>
          <t>TEL: 256-277-0045</t>
        </is>
      </c>
      <c r="B9" s="2" t="n"/>
      <c r="C9" s="2" t="n"/>
      <c r="D9" s="122" t="n"/>
      <c r="E9" s="122" t="n"/>
      <c r="F9" s="4" t="n"/>
      <c r="G9" s="2" t="n"/>
      <c r="H9" s="2" t="n"/>
      <c r="I9" s="124" t="n"/>
      <c r="J9" s="124" t="inlineStr">
        <is>
          <t>PRINT AT: 2026-07-07</t>
        </is>
      </c>
      <c r="K9" s="124" t="n"/>
    </row>
    <row r="10" ht="23.15" customFormat="1" customHeight="1" s="1" thickBot="1">
      <c r="A10" s="2" t="inlineStr">
        <is>
          <t>PAYMENT TERM: T/T NET ETD 75DAYS</t>
        </is>
      </c>
      <c r="B10" s="2" t="n"/>
      <c r="C10" s="2" t="n"/>
      <c r="D10" s="122" t="n"/>
      <c r="E10" s="122" t="n"/>
      <c r="F10" s="4" t="n"/>
      <c r="G10" s="2" t="n"/>
      <c r="H10" s="2" t="n"/>
      <c r="I10" s="124" t="n"/>
      <c r="J10" s="124" t="inlineStr">
        <is>
          <t>CURRENCY: USD</t>
        </is>
      </c>
      <c r="K10" s="124" t="n"/>
    </row>
    <row r="11" ht="18" customFormat="1" customHeight="1" s="1" thickBot="1" thickTop="1">
      <c r="A11" s="114" t="inlineStr">
        <is>
          <t>CTN #</t>
        </is>
      </c>
      <c r="B11" s="125" t="n"/>
      <c r="C11" s="126" t="n"/>
      <c r="D11" s="7" t="inlineStr">
        <is>
          <t># of CTNS</t>
        </is>
      </c>
      <c r="E11" s="114" t="inlineStr">
        <is>
          <t>PO#</t>
        </is>
      </c>
      <c r="F11" s="114" t="inlineStr">
        <is>
          <t>Item No</t>
        </is>
      </c>
      <c r="G11" s="8" t="inlineStr">
        <is>
          <t>Description</t>
        </is>
      </c>
      <c r="H11" s="8" t="inlineStr">
        <is>
          <t>Quantity</t>
        </is>
      </c>
      <c r="I11" s="8" t="inlineStr">
        <is>
          <t>Dimension(CM)</t>
        </is>
      </c>
      <c r="J11" s="127" t="inlineStr">
        <is>
          <t>CBM/CTN</t>
        </is>
      </c>
      <c r="K11" s="128" t="inlineStr">
        <is>
          <t>N.W. (KGS)</t>
        </is>
      </c>
      <c r="L11" s="129" t="inlineStr">
        <is>
          <t>G.W.(KGS)</t>
        </is>
      </c>
    </row>
    <row r="12" ht="39.75" customFormat="1" customHeight="1" s="13" thickTop="1">
      <c r="A12" s="102" t="inlineStr">
        <is>
          <t>1</t>
        </is>
      </c>
      <c r="B12" s="96" t="inlineStr">
        <is>
          <t>-</t>
        </is>
      </c>
      <c r="C12" s="103" t="inlineStr">
        <is>
          <t>20</t>
        </is>
      </c>
      <c r="D12" s="130">
        <f>C12-A12+1</f>
        <v/>
      </c>
      <c r="E12" s="105" t="inlineStr">
        <is>
          <t>163103</t>
        </is>
      </c>
      <c r="F12" s="105" t="inlineStr">
        <is>
          <t>8SHD130032</t>
        </is>
      </c>
      <c r="G12" s="106" t="inlineStr">
        <is>
          <t>0266MXDM-XCES0;MM Xtra-Strength Dash</t>
        </is>
      </c>
      <c r="H12" s="131" t="n">
        <v>100</v>
      </c>
      <c r="I12" s="131" t="inlineStr">
        <is>
          <t>42.5*32.5*25.5</t>
        </is>
      </c>
      <c r="J12" s="132">
        <f>42.5*32.5*25.5/1000000</f>
        <v/>
      </c>
      <c r="K12" s="133" t="n">
        <v>8</v>
      </c>
      <c r="L12" s="134" t="n">
        <v>9.4</v>
      </c>
      <c r="M12" s="107" t="inlineStr">
        <is>
          <t>
</t>
        </is>
      </c>
    </row>
    <row r="13" ht="21.75" customFormat="1" customHeight="1" s="13">
      <c r="A13" s="97" t="n"/>
      <c r="B13" s="97" t="n"/>
      <c r="C13" s="14" t="n"/>
      <c r="D13" s="135" t="n"/>
      <c r="E13" s="136" t="n"/>
      <c r="F13" s="95" t="n"/>
      <c r="G13" s="87" t="inlineStr">
        <is>
          <t>SUBTOTAL:</t>
        </is>
      </c>
      <c r="H13" s="137">
        <f>H12*D12</f>
        <v/>
      </c>
      <c r="I13" s="137" t="n"/>
      <c r="J13" s="132">
        <f>J12*D12</f>
        <v/>
      </c>
      <c r="K13" s="138">
        <f>K12*D12</f>
        <v/>
      </c>
      <c r="L13" s="139">
        <f>L12*D12</f>
        <v/>
      </c>
    </row>
    <row r="14" ht="20.15" customFormat="1" customHeight="1" s="1" thickBot="1">
      <c r="A14" s="102" t="inlineStr">
        <is>
          <t>1</t>
        </is>
      </c>
      <c r="B14" s="96" t="inlineStr">
        <is>
          <t>-</t>
        </is>
      </c>
      <c r="C14" s="103" t="inlineStr">
        <is>
          <t>10</t>
        </is>
      </c>
      <c r="D14" s="130">
        <f>C14-A14+1</f>
        <v/>
      </c>
      <c r="E14" s="105" t="inlineStr">
        <is>
          <t>163103</t>
        </is>
      </c>
      <c r="F14" s="105" t="inlineStr">
        <is>
          <t>8SHD130029</t>
        </is>
      </c>
      <c r="G14" s="106" t="inlineStr">
        <is>
          <t>0266MP2FM-XCES0; MM PRO 2 FLUSH MOUNT</t>
        </is>
      </c>
      <c r="H14" s="131" t="n">
        <v>100</v>
      </c>
      <c r="I14" s="131" t="inlineStr">
        <is>
          <t>52.5*23*36.5</t>
        </is>
      </c>
      <c r="J14" s="132">
        <f>52.5*23*36.5/1000000</f>
        <v/>
      </c>
      <c r="K14" s="138" t="n">
        <v>5.7</v>
      </c>
      <c r="L14" s="139" t="n">
        <v>10.8</v>
      </c>
    </row>
    <row r="15" ht="20.15" customFormat="1" customHeight="1" s="1" thickTop="1">
      <c r="A15" s="97" t="n"/>
      <c r="B15" s="97" t="n"/>
      <c r="C15" s="14" t="n"/>
      <c r="D15" s="135" t="n"/>
      <c r="E15" s="136" t="n"/>
      <c r="F15" s="95" t="n"/>
      <c r="G15" s="87" t="inlineStr">
        <is>
          <t>SUBTOTAL:</t>
        </is>
      </c>
      <c r="H15" s="137">
        <f>H14*D14</f>
        <v/>
      </c>
      <c r="I15" s="137" t="n"/>
      <c r="J15" s="132">
        <f>J14*D14</f>
        <v/>
      </c>
      <c r="K15" s="138">
        <f>K14*D14</f>
        <v/>
      </c>
      <c r="L15" s="139">
        <f>L14*D14</f>
        <v/>
      </c>
    </row>
    <row r="16" ht="20.15" customFormat="1" customHeight="1" s="1">
      <c r="A16" s="102" t="inlineStr">
        <is>
          <t>1</t>
        </is>
      </c>
      <c r="B16" s="96" t="inlineStr">
        <is>
          <t>-</t>
        </is>
      </c>
      <c r="C16" s="103" t="inlineStr">
        <is>
          <t>84</t>
        </is>
      </c>
      <c r="D16" s="130">
        <f>C16-A16+1</f>
        <v/>
      </c>
      <c r="E16" s="105" t="inlineStr">
        <is>
          <t>163103</t>
        </is>
      </c>
      <c r="F16" s="105" t="inlineStr">
        <is>
          <t>8SHB060041</t>
        </is>
      </c>
      <c r="G16" s="106" t="inlineStr">
        <is>
          <t>0266GHVWD; GRVTY WNDW/DSH/VNT MNT</t>
        </is>
      </c>
      <c r="H16" s="131" t="n">
        <v>48</v>
      </c>
      <c r="I16" s="131" t="inlineStr">
        <is>
          <t>59.5*50.5*40</t>
        </is>
      </c>
      <c r="J16" s="132">
        <f>59.5*50.5*40/1000000</f>
        <v/>
      </c>
      <c r="K16" s="138" t="n">
        <v>6</v>
      </c>
      <c r="L16" s="139" t="n">
        <v>13.4</v>
      </c>
    </row>
    <row r="17" ht="20.15" customFormat="1" customHeight="1" s="1">
      <c r="A17" s="97" t="n"/>
      <c r="B17" s="97" t="n"/>
      <c r="C17" s="14" t="n"/>
      <c r="D17" s="135" t="n"/>
      <c r="E17" s="136" t="n"/>
      <c r="F17" s="95" t="n"/>
      <c r="G17" s="87" t="inlineStr">
        <is>
          <t>SUBTOTAL:</t>
        </is>
      </c>
      <c r="H17" s="137">
        <f>H16*D16</f>
        <v/>
      </c>
      <c r="I17" s="137" t="n"/>
      <c r="J17" s="132">
        <f>J16*D16</f>
        <v/>
      </c>
      <c r="K17" s="138">
        <f>K16*D16</f>
        <v/>
      </c>
      <c r="L17" s="139">
        <f>L16*D16</f>
        <v/>
      </c>
    </row>
    <row r="18" ht="20.15" customFormat="1" customHeight="1" s="1">
      <c r="A18" s="102" t="inlineStr">
        <is>
          <t>1</t>
        </is>
      </c>
      <c r="B18" s="96" t="inlineStr">
        <is>
          <t>-</t>
        </is>
      </c>
      <c r="C18" s="103" t="inlineStr">
        <is>
          <t>10</t>
        </is>
      </c>
      <c r="D18" s="130">
        <f>C18-A18+1</f>
        <v/>
      </c>
      <c r="E18" s="105" t="inlineStr">
        <is>
          <t>163103</t>
        </is>
      </c>
      <c r="F18" s="105" t="inlineStr">
        <is>
          <t>8SHD130031</t>
        </is>
      </c>
      <c r="G18" s="106" t="inlineStr">
        <is>
          <t>0266MAGFM-2PXCES0; MAGNETIC FLUSH MOUNT 2PK</t>
        </is>
      </c>
      <c r="H18" s="131" t="n">
        <v>100</v>
      </c>
      <c r="I18" s="131" t="inlineStr">
        <is>
          <t>41.5*40.3*30.5</t>
        </is>
      </c>
      <c r="J18" s="132">
        <f>41.5*40.3*30.5/1000000</f>
        <v/>
      </c>
      <c r="K18" s="138" t="n">
        <v>6.7</v>
      </c>
      <c r="L18" s="139" t="n">
        <v>13</v>
      </c>
    </row>
    <row r="19" ht="20.15" customFormat="1" customHeight="1" s="1">
      <c r="A19" s="97" t="n"/>
      <c r="B19" s="97" t="n"/>
      <c r="C19" s="14" t="n"/>
      <c r="D19" s="135" t="n"/>
      <c r="E19" s="136" t="n"/>
      <c r="F19" s="95" t="n"/>
      <c r="G19" s="87" t="inlineStr">
        <is>
          <t>SUBTOTAL:</t>
        </is>
      </c>
      <c r="H19" s="137">
        <f>H18*D18</f>
        <v/>
      </c>
      <c r="I19" s="137" t="n"/>
      <c r="J19" s="132">
        <f>J18*D18</f>
        <v/>
      </c>
      <c r="K19" s="138">
        <f>K18*D18</f>
        <v/>
      </c>
      <c r="L19" s="139">
        <f>L18*D18</f>
        <v/>
      </c>
    </row>
    <row r="20" ht="20.15" customFormat="1" customHeight="1" s="1">
      <c r="A20" s="102" t="inlineStr">
        <is>
          <t>1</t>
        </is>
      </c>
      <c r="B20" s="96" t="inlineStr">
        <is>
          <t>-</t>
        </is>
      </c>
      <c r="C20" s="103" t="inlineStr">
        <is>
          <t>88</t>
        </is>
      </c>
      <c r="D20" s="130">
        <f>C20-A20+1</f>
        <v/>
      </c>
      <c r="E20" s="105" t="inlineStr">
        <is>
          <t>163103</t>
        </is>
      </c>
      <c r="F20" s="105" t="inlineStr">
        <is>
          <t>8SHB130193</t>
        </is>
      </c>
      <c r="G20" s="106" t="inlineStr">
        <is>
          <t>0266MP2WD-SP1; MAGICMOUNT PRO WIN DASH</t>
        </is>
      </c>
      <c r="H20" s="131" t="n">
        <v>40</v>
      </c>
      <c r="I20" s="131" t="inlineStr">
        <is>
          <t>55*47.5*20.5</t>
        </is>
      </c>
      <c r="J20" s="132">
        <f>55*47.5*20.5/1000000</f>
        <v/>
      </c>
      <c r="K20" s="138" t="n">
        <v>4.7</v>
      </c>
      <c r="L20" s="139" t="n">
        <v>8.9</v>
      </c>
    </row>
    <row r="21" ht="15.5" customHeight="1">
      <c r="A21" s="97" t="n"/>
      <c r="B21" s="97" t="n"/>
      <c r="C21" s="14" t="n"/>
      <c r="D21" s="135" t="n"/>
      <c r="E21" s="136" t="n"/>
      <c r="F21" s="95" t="n"/>
      <c r="G21" s="87" t="inlineStr">
        <is>
          <t>SUBTOTAL:</t>
        </is>
      </c>
      <c r="H21" s="137">
        <f>H20*D20</f>
        <v/>
      </c>
      <c r="I21" s="137" t="n"/>
      <c r="J21" s="132">
        <f>J20*D20</f>
        <v/>
      </c>
      <c r="K21" s="138">
        <f>K20*D20</f>
        <v/>
      </c>
      <c r="L21" s="139">
        <f>L20*D20</f>
        <v/>
      </c>
    </row>
    <row r="22" ht="15.5" customHeight="1">
      <c r="A22" s="140" t="inlineStr">
        <is>
          <t>212 CTNS</t>
        </is>
      </c>
      <c r="B22" s="141" t="n"/>
      <c r="C22" s="142" t="n"/>
      <c r="D22" s="143">
        <f>SUM(D12:D13)</f>
        <v/>
      </c>
      <c r="E22" s="16" t="n"/>
      <c r="F22" s="16" t="n"/>
      <c r="G22" s="17" t="inlineStr">
        <is>
          <t>TOTAL:</t>
        </is>
      </c>
      <c r="H22" s="144">
        <f>H13+H15+H17+H19+H21</f>
        <v/>
      </c>
      <c r="I22" s="144" t="n"/>
      <c r="J22" s="145">
        <f>J13+J15+J17+J19+J21</f>
        <v/>
      </c>
      <c r="K22" s="146">
        <f>K13+K15+K17+K19+K21</f>
        <v/>
      </c>
      <c r="L22" s="147">
        <f>L13+L15+L17+L19+L21</f>
        <v/>
      </c>
    </row>
    <row r="23" ht="20.15" customFormat="1" customHeight="1" s="1">
      <c r="A23" s="22" t="inlineStr">
        <is>
          <t>REMARK:</t>
        </is>
      </c>
      <c r="B23" s="23" t="n"/>
      <c r="C23" s="85" t="inlineStr">
        <is>
          <t xml:space="preserve">TOTAL: 625 CTNS / 19.19 CBM / 2637.50 KG </t>
        </is>
      </c>
      <c r="D23" s="148" t="n"/>
      <c r="E23" s="148" t="n"/>
      <c r="F23" s="111" t="n"/>
      <c r="G23" s="25" t="n"/>
      <c r="H23" s="111" t="n"/>
      <c r="I23" s="111" t="n"/>
      <c r="J23" s="149" t="n"/>
      <c r="K23" s="150" t="n"/>
      <c r="L23" s="149" t="n"/>
    </row>
    <row r="24" ht="20.15" customFormat="1" customHeight="1" s="1">
      <c r="A24" s="28" t="n"/>
      <c r="B24" s="28" t="n"/>
      <c r="C24" s="29" t="n"/>
      <c r="D24" s="151" t="n"/>
      <c r="E24" s="151" t="n"/>
      <c r="F24" s="111" t="n"/>
      <c r="G24" s="31" t="n"/>
      <c r="H24" s="31" t="n"/>
      <c r="I24" s="31" t="n"/>
      <c r="J24" s="31" t="n"/>
      <c r="K24" s="31" t="n"/>
      <c r="L24" s="31" t="n"/>
      <c r="M24" s="32" t="n"/>
    </row>
    <row r="25" ht="20.15" customFormat="1" customHeight="1" s="1">
      <c r="A25" s="33" t="inlineStr">
        <is>
          <t xml:space="preserve">         **SHIPPING MARK**</t>
        </is>
      </c>
      <c r="B25" s="33" t="n"/>
      <c r="C25" s="33" t="n"/>
      <c r="D25" s="152" t="n"/>
      <c r="E25" s="152" t="n"/>
      <c r="F25" s="35" t="n"/>
      <c r="G25" s="36" t="n"/>
      <c r="H25" s="35" t="n"/>
      <c r="I25" s="35" t="n"/>
      <c r="J25" s="153" t="n"/>
      <c r="K25" s="154" t="n"/>
      <c r="L25" s="154" t="n"/>
      <c r="M25" s="39" t="n"/>
    </row>
    <row r="26" ht="15.5" customHeight="1">
      <c r="A26" s="155" t="inlineStr">
        <is>
          <t>Part Number: 0266MXDM-XCES0</t>
        </is>
      </c>
      <c r="C26" s="40" t="n"/>
      <c r="D26" s="156" t="n"/>
      <c r="E26" s="157" t="inlineStr">
        <is>
          <t>Part Number: 0266MP2FM-XCES0</t>
        </is>
      </c>
      <c r="F26" s="35" t="n"/>
      <c r="I26" s="158" t="inlineStr">
        <is>
          <t>Part Number: 0266GHVWD</t>
        </is>
      </c>
      <c r="L26" s="154" t="n"/>
    </row>
    <row r="27" ht="15.5" customHeight="1">
      <c r="A27" s="155" t="inlineStr">
        <is>
          <t>PO#: 163103</t>
        </is>
      </c>
      <c r="C27" s="40" t="n"/>
      <c r="D27" s="156" t="n"/>
      <c r="E27" s="157" t="inlineStr">
        <is>
          <t>PO#: 163103</t>
        </is>
      </c>
      <c r="I27" s="158" t="inlineStr">
        <is>
          <t>PO#: 163103</t>
        </is>
      </c>
      <c r="L27" s="154" t="n"/>
    </row>
    <row r="28" ht="20.15" customFormat="1" customHeight="1" s="1">
      <c r="A28" s="155" t="inlineStr">
        <is>
          <t>Date Code: 待確認</t>
        </is>
      </c>
      <c r="B28" s="33" t="n"/>
      <c r="C28" s="33" t="n"/>
      <c r="D28" s="152" t="n"/>
      <c r="E28" s="159" t="inlineStr">
        <is>
          <t>Date Code: 待確認</t>
        </is>
      </c>
      <c r="I28" s="158" t="inlineStr">
        <is>
          <t>Date Code: 待確認</t>
        </is>
      </c>
      <c r="L28" s="154" t="n"/>
    </row>
    <row r="29" ht="20.15" customFormat="1" customHeight="1" s="1">
      <c r="A29" s="155" t="inlineStr">
        <is>
          <t>C/N: of 20</t>
        </is>
      </c>
      <c r="B29" s="1" t="n"/>
      <c r="C29" s="40" t="n"/>
      <c r="D29" s="156" t="n"/>
      <c r="E29" s="157" t="inlineStr">
        <is>
          <t>C/N: of 10</t>
        </is>
      </c>
      <c r="F29" s="55" t="n"/>
      <c r="G29" s="1" t="n"/>
      <c r="H29" s="153" t="n"/>
      <c r="I29" s="155" t="inlineStr">
        <is>
          <t>C/N: of 84</t>
        </is>
      </c>
      <c r="J29" s="39" t="n"/>
      <c r="K29" s="39" t="n"/>
      <c r="L29" s="154" t="n"/>
      <c r="N29" s="1" t="n"/>
      <c r="O29" s="40" t="n"/>
      <c r="P29" s="156" t="n"/>
      <c r="Q29" s="35" t="n"/>
      <c r="R29" s="1" t="n"/>
      <c r="S29" s="1" t="n"/>
      <c r="U29" s="153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" t="n"/>
      <c r="AY29" s="1" t="n"/>
      <c r="AZ29" s="1" t="n"/>
      <c r="BA29" s="1" t="n"/>
      <c r="BB29" s="1" t="n"/>
      <c r="BC29" s="1" t="n"/>
      <c r="BD29" s="1" t="n"/>
      <c r="BE29" s="1" t="n"/>
      <c r="BF29" s="1" t="n"/>
      <c r="BG29" s="1" t="n"/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" t="n"/>
      <c r="BQ29" s="1" t="n"/>
      <c r="BR29" s="1" t="n"/>
      <c r="BS29" s="1" t="n"/>
      <c r="BT29" s="1" t="n"/>
      <c r="BU29" s="1" t="n"/>
      <c r="BV29" s="1" t="n"/>
      <c r="BW29" s="1" t="n"/>
      <c r="BX29" s="1" t="n"/>
      <c r="BY29" s="1" t="n"/>
      <c r="BZ29" s="1" t="n"/>
      <c r="CA29" s="1" t="n"/>
      <c r="CB29" s="1" t="n"/>
      <c r="CC29" s="1" t="n"/>
      <c r="CD29" s="1" t="n"/>
      <c r="CE29" s="1" t="n"/>
      <c r="CF29" s="1" t="n"/>
      <c r="CG29" s="1" t="n"/>
      <c r="CH29" s="1" t="n"/>
      <c r="CI29" s="1" t="n"/>
      <c r="CJ29" s="1" t="n"/>
      <c r="CK29" s="1" t="n"/>
      <c r="CL29" s="1" t="n"/>
      <c r="CM29" s="1" t="n"/>
      <c r="CN29" s="1" t="n"/>
      <c r="CO29" s="1" t="n"/>
      <c r="CP29" s="1" t="n"/>
      <c r="CQ29" s="1" t="n"/>
      <c r="CR29" s="1" t="n"/>
      <c r="CS29" s="1" t="n"/>
      <c r="CT29" s="1" t="n"/>
      <c r="CU29" s="1" t="n"/>
      <c r="CV29" s="1" t="n"/>
      <c r="CW29" s="1" t="n"/>
      <c r="CX29" s="1" t="n"/>
      <c r="CY29" s="1" t="n"/>
      <c r="CZ29" s="1" t="n"/>
      <c r="DA29" s="1" t="n"/>
      <c r="DB29" s="1" t="n"/>
      <c r="DC29" s="1" t="n"/>
      <c r="DD29" s="1" t="n"/>
      <c r="DE29" s="1" t="n"/>
      <c r="DF29" s="1" t="n"/>
      <c r="DG29" s="1" t="n"/>
      <c r="DH29" s="1" t="n"/>
      <c r="DI29" s="1" t="n"/>
      <c r="DJ29" s="1" t="n"/>
      <c r="DK29" s="1" t="n"/>
      <c r="DL29" s="1" t="n"/>
      <c r="DM29" s="1" t="n"/>
      <c r="DN29" s="1" t="n"/>
      <c r="DO29" s="1" t="n"/>
      <c r="DP29" s="1" t="n"/>
      <c r="DQ29" s="1" t="n"/>
      <c r="DR29" s="1" t="n"/>
      <c r="DS29" s="1" t="n"/>
      <c r="DT29" s="1" t="n"/>
      <c r="DU29" s="1" t="n"/>
      <c r="DV29" s="1" t="n"/>
      <c r="DW29" s="1" t="n"/>
      <c r="DX29" s="1" t="n"/>
      <c r="DY29" s="1" t="n"/>
      <c r="DZ29" s="1" t="n"/>
      <c r="EA29" s="1" t="n"/>
      <c r="EB29" s="1" t="n"/>
      <c r="EC29" s="1" t="n"/>
      <c r="ED29" s="1" t="n"/>
      <c r="EE29" s="1" t="n"/>
      <c r="EF29" s="1" t="n"/>
      <c r="EG29" s="1" t="n"/>
      <c r="EH29" s="1" t="n"/>
      <c r="EI29" s="1" t="n"/>
      <c r="EJ29" s="1" t="n"/>
      <c r="EK29" s="1" t="n"/>
      <c r="EL29" s="1" t="n"/>
      <c r="EM29" s="1" t="n"/>
      <c r="EN29" s="1" t="n"/>
      <c r="EO29" s="1" t="n"/>
      <c r="EP29" s="1" t="n"/>
      <c r="EQ29" s="1" t="n"/>
      <c r="ER29" s="1" t="n"/>
      <c r="ES29" s="1" t="n"/>
      <c r="ET29" s="1" t="n"/>
      <c r="EU29" s="1" t="n"/>
      <c r="EV29" s="1" t="n"/>
      <c r="EW29" s="1" t="n"/>
      <c r="EX29" s="1" t="n"/>
      <c r="EY29" s="1" t="n"/>
      <c r="EZ29" s="1" t="n"/>
      <c r="FA29" s="1" t="n"/>
      <c r="FB29" s="1" t="n"/>
      <c r="FC29" s="1" t="n"/>
      <c r="FD29" s="1" t="n"/>
      <c r="FE29" s="1" t="n"/>
      <c r="FF29" s="1" t="n"/>
      <c r="FG29" s="1" t="n"/>
      <c r="FH29" s="1" t="n"/>
      <c r="FI29" s="1" t="n"/>
      <c r="FJ29" s="1" t="n"/>
      <c r="FK29" s="1" t="n"/>
      <c r="FL29" s="1" t="n"/>
      <c r="FM29" s="1" t="n"/>
      <c r="FN29" s="1" t="n"/>
      <c r="FO29" s="1" t="n"/>
      <c r="FP29" s="1" t="n"/>
      <c r="FQ29" s="1" t="n"/>
      <c r="FR29" s="1" t="n"/>
      <c r="FS29" s="1" t="n"/>
      <c r="FT29" s="1" t="n"/>
      <c r="FU29" s="1" t="n"/>
      <c r="FV29" s="1" t="n"/>
      <c r="FW29" s="1" t="n"/>
      <c r="FX29" s="1" t="n"/>
      <c r="FY29" s="1" t="n"/>
      <c r="FZ29" s="1" t="n"/>
      <c r="GA29" s="1" t="n"/>
      <c r="GB29" s="1" t="n"/>
      <c r="GC29" s="1" t="n"/>
      <c r="GD29" s="1" t="n"/>
      <c r="GE29" s="1" t="n"/>
      <c r="GF29" s="1" t="n"/>
      <c r="GG29" s="1" t="n"/>
      <c r="GH29" s="1" t="n"/>
      <c r="GI29" s="1" t="n"/>
      <c r="GJ29" s="1" t="n"/>
      <c r="GK29" s="1" t="n"/>
      <c r="GL29" s="1" t="n"/>
      <c r="GM29" s="1" t="n"/>
      <c r="GN29" s="1" t="n"/>
      <c r="GO29" s="1" t="n"/>
      <c r="GP29" s="1" t="n"/>
      <c r="GQ29" s="1" t="n"/>
      <c r="GR29" s="1" t="n"/>
      <c r="GS29" s="1" t="n"/>
      <c r="GT29" s="1" t="n"/>
      <c r="GU29" s="1" t="n"/>
      <c r="GV29" s="1" t="n"/>
      <c r="GW29" s="1" t="n"/>
      <c r="GX29" s="1" t="n"/>
      <c r="GY29" s="1" t="n"/>
      <c r="GZ29" s="1" t="n"/>
      <c r="HA29" s="1" t="n"/>
      <c r="HB29" s="1" t="n"/>
      <c r="HC29" s="1" t="n"/>
      <c r="HD29" s="1" t="n"/>
      <c r="HE29" s="1" t="n"/>
      <c r="HF29" s="1" t="n"/>
      <c r="HG29" s="1" t="n"/>
      <c r="HH29" s="1" t="n"/>
      <c r="HI29" s="1" t="n"/>
      <c r="HJ29" s="1" t="n"/>
      <c r="HK29" s="1" t="n"/>
      <c r="HL29" s="1" t="n"/>
      <c r="HM29" s="1" t="n"/>
      <c r="HN29" s="1" t="n"/>
      <c r="HO29" s="1" t="n"/>
      <c r="HP29" s="1" t="n"/>
      <c r="HQ29" s="1" t="n"/>
      <c r="HR29" s="1" t="n"/>
      <c r="HS29" s="1" t="n"/>
      <c r="HT29" s="1" t="n"/>
      <c r="HU29" s="1" t="n"/>
      <c r="HV29" s="1" t="n"/>
      <c r="HW29" s="1" t="n"/>
      <c r="HX29" s="1" t="n"/>
      <c r="HY29" s="1" t="n"/>
      <c r="HZ29" s="1" t="n"/>
      <c r="IA29" s="1" t="n"/>
      <c r="IB29" s="1" t="n"/>
      <c r="IC29" s="1" t="n"/>
      <c r="ID29" s="1" t="n"/>
      <c r="IE29" s="1" t="n"/>
      <c r="IF29" s="1" t="n"/>
      <c r="IG29" s="1" t="n"/>
      <c r="IH29" s="1" t="n"/>
      <c r="II29" s="1" t="n"/>
      <c r="IJ29" s="1" t="n"/>
      <c r="IK29" s="1" t="n"/>
      <c r="IL29" s="1" t="n"/>
      <c r="IM29" s="1" t="n"/>
      <c r="IN29" s="1" t="n"/>
      <c r="IO29" s="1" t="n"/>
      <c r="IP29" s="1" t="n"/>
      <c r="IQ29" s="1" t="n"/>
      <c r="IR29" s="1" t="n"/>
      <c r="IS29" s="1" t="n"/>
      <c r="IT29" s="1" t="n"/>
      <c r="IU29" s="1" t="n"/>
      <c r="IV29" s="1" t="n"/>
      <c r="IW29" s="1" t="n"/>
    </row>
    <row r="30" ht="20.15" customFormat="1" customHeight="1" s="1">
      <c r="A30" s="155" t="inlineStr">
        <is>
          <t>Qty: 100 pcs</t>
        </is>
      </c>
      <c r="D30" s="55" t="n"/>
      <c r="E30" s="158" t="inlineStr">
        <is>
          <t>Qty: 100 pcs</t>
        </is>
      </c>
      <c r="F30" s="55" t="n"/>
      <c r="G30" s="1" t="n"/>
      <c r="H30" s="1" t="n"/>
      <c r="I30" s="155" t="inlineStr">
        <is>
          <t>Qty: 48 pcs</t>
        </is>
      </c>
      <c r="J30" s="153" t="n"/>
      <c r="K30" s="1" t="n"/>
      <c r="L30" s="154" t="n"/>
      <c r="N30" s="1" t="n"/>
      <c r="O30" s="40" t="n"/>
      <c r="P30" s="156" t="n"/>
      <c r="Q30" s="35" t="n"/>
      <c r="R30" s="1" t="n"/>
      <c r="S30" s="1" t="n"/>
      <c r="U30" s="153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  <c r="AW30" s="1" t="n"/>
      <c r="AX30" s="1" t="n"/>
      <c r="AY30" s="1" t="n"/>
      <c r="AZ30" s="1" t="n"/>
      <c r="BA30" s="1" t="n"/>
      <c r="BB30" s="1" t="n"/>
      <c r="BC30" s="1" t="n"/>
      <c r="BD30" s="1" t="n"/>
      <c r="BE30" s="1" t="n"/>
      <c r="BF30" s="1" t="n"/>
      <c r="BG30" s="1" t="n"/>
      <c r="BH30" s="1" t="n"/>
      <c r="BI30" s="1" t="n"/>
      <c r="BJ30" s="1" t="n"/>
      <c r="BK30" s="1" t="n"/>
      <c r="BL30" s="1" t="n"/>
      <c r="BM30" s="1" t="n"/>
      <c r="BN30" s="1" t="n"/>
      <c r="BO30" s="1" t="n"/>
      <c r="BP30" s="1" t="n"/>
      <c r="BQ30" s="1" t="n"/>
      <c r="BR30" s="1" t="n"/>
      <c r="BS30" s="1" t="n"/>
      <c r="BT30" s="1" t="n"/>
      <c r="BU30" s="1" t="n"/>
      <c r="BV30" s="1" t="n"/>
      <c r="BW30" s="1" t="n"/>
      <c r="BX30" s="1" t="n"/>
      <c r="BY30" s="1" t="n"/>
      <c r="BZ30" s="1" t="n"/>
      <c r="CA30" s="1" t="n"/>
      <c r="CB30" s="1" t="n"/>
      <c r="CC30" s="1" t="n"/>
      <c r="CD30" s="1" t="n"/>
      <c r="CE30" s="1" t="n"/>
      <c r="CF30" s="1" t="n"/>
      <c r="CG30" s="1" t="n"/>
      <c r="CH30" s="1" t="n"/>
      <c r="CI30" s="1" t="n"/>
      <c r="CJ30" s="1" t="n"/>
      <c r="CK30" s="1" t="n"/>
      <c r="CL30" s="1" t="n"/>
      <c r="CM30" s="1" t="n"/>
      <c r="CN30" s="1" t="n"/>
      <c r="CO30" s="1" t="n"/>
      <c r="CP30" s="1" t="n"/>
      <c r="CQ30" s="1" t="n"/>
      <c r="CR30" s="1" t="n"/>
      <c r="CS30" s="1" t="n"/>
      <c r="CT30" s="1" t="n"/>
      <c r="CU30" s="1" t="n"/>
      <c r="CV30" s="1" t="n"/>
      <c r="CW30" s="1" t="n"/>
      <c r="CX30" s="1" t="n"/>
      <c r="CY30" s="1" t="n"/>
      <c r="CZ30" s="1" t="n"/>
      <c r="DA30" s="1" t="n"/>
      <c r="DB30" s="1" t="n"/>
      <c r="DC30" s="1" t="n"/>
      <c r="DD30" s="1" t="n"/>
      <c r="DE30" s="1" t="n"/>
      <c r="DF30" s="1" t="n"/>
      <c r="DG30" s="1" t="n"/>
      <c r="DH30" s="1" t="n"/>
      <c r="DI30" s="1" t="n"/>
      <c r="DJ30" s="1" t="n"/>
      <c r="DK30" s="1" t="n"/>
      <c r="DL30" s="1" t="n"/>
      <c r="DM30" s="1" t="n"/>
      <c r="DN30" s="1" t="n"/>
      <c r="DO30" s="1" t="n"/>
      <c r="DP30" s="1" t="n"/>
      <c r="DQ30" s="1" t="n"/>
      <c r="DR30" s="1" t="n"/>
      <c r="DS30" s="1" t="n"/>
      <c r="DT30" s="1" t="n"/>
      <c r="DU30" s="1" t="n"/>
      <c r="DV30" s="1" t="n"/>
      <c r="DW30" s="1" t="n"/>
      <c r="DX30" s="1" t="n"/>
      <c r="DY30" s="1" t="n"/>
      <c r="DZ30" s="1" t="n"/>
      <c r="EA30" s="1" t="n"/>
      <c r="EB30" s="1" t="n"/>
      <c r="EC30" s="1" t="n"/>
      <c r="ED30" s="1" t="n"/>
      <c r="EE30" s="1" t="n"/>
      <c r="EF30" s="1" t="n"/>
      <c r="EG30" s="1" t="n"/>
      <c r="EH30" s="1" t="n"/>
      <c r="EI30" s="1" t="n"/>
      <c r="EJ30" s="1" t="n"/>
      <c r="EK30" s="1" t="n"/>
      <c r="EL30" s="1" t="n"/>
      <c r="EM30" s="1" t="n"/>
      <c r="EN30" s="1" t="n"/>
      <c r="EO30" s="1" t="n"/>
      <c r="EP30" s="1" t="n"/>
      <c r="EQ30" s="1" t="n"/>
      <c r="ER30" s="1" t="n"/>
      <c r="ES30" s="1" t="n"/>
      <c r="ET30" s="1" t="n"/>
      <c r="EU30" s="1" t="n"/>
      <c r="EV30" s="1" t="n"/>
      <c r="EW30" s="1" t="n"/>
      <c r="EX30" s="1" t="n"/>
      <c r="EY30" s="1" t="n"/>
      <c r="EZ30" s="1" t="n"/>
      <c r="FA30" s="1" t="n"/>
      <c r="FB30" s="1" t="n"/>
      <c r="FC30" s="1" t="n"/>
      <c r="FD30" s="1" t="n"/>
      <c r="FE30" s="1" t="n"/>
      <c r="FF30" s="1" t="n"/>
      <c r="FG30" s="1" t="n"/>
      <c r="FH30" s="1" t="n"/>
      <c r="FI30" s="1" t="n"/>
      <c r="FJ30" s="1" t="n"/>
      <c r="FK30" s="1" t="n"/>
      <c r="FL30" s="1" t="n"/>
      <c r="FM30" s="1" t="n"/>
      <c r="FN30" s="1" t="n"/>
      <c r="FO30" s="1" t="n"/>
      <c r="FP30" s="1" t="n"/>
      <c r="FQ30" s="1" t="n"/>
      <c r="FR30" s="1" t="n"/>
      <c r="FS30" s="1" t="n"/>
      <c r="FT30" s="1" t="n"/>
      <c r="FU30" s="1" t="n"/>
      <c r="FV30" s="1" t="n"/>
      <c r="FW30" s="1" t="n"/>
      <c r="FX30" s="1" t="n"/>
      <c r="FY30" s="1" t="n"/>
      <c r="FZ30" s="1" t="n"/>
      <c r="GA30" s="1" t="n"/>
      <c r="GB30" s="1" t="n"/>
      <c r="GC30" s="1" t="n"/>
      <c r="GD30" s="1" t="n"/>
      <c r="GE30" s="1" t="n"/>
      <c r="GF30" s="1" t="n"/>
      <c r="GG30" s="1" t="n"/>
      <c r="GH30" s="1" t="n"/>
      <c r="GI30" s="1" t="n"/>
      <c r="GJ30" s="1" t="n"/>
      <c r="GK30" s="1" t="n"/>
      <c r="GL30" s="1" t="n"/>
      <c r="GM30" s="1" t="n"/>
      <c r="GN30" s="1" t="n"/>
      <c r="GO30" s="1" t="n"/>
      <c r="GP30" s="1" t="n"/>
      <c r="GQ30" s="1" t="n"/>
      <c r="GR30" s="1" t="n"/>
      <c r="GS30" s="1" t="n"/>
      <c r="GT30" s="1" t="n"/>
      <c r="GU30" s="1" t="n"/>
      <c r="GV30" s="1" t="n"/>
      <c r="GW30" s="1" t="n"/>
      <c r="GX30" s="1" t="n"/>
      <c r="GY30" s="1" t="n"/>
      <c r="GZ30" s="1" t="n"/>
      <c r="HA30" s="1" t="n"/>
      <c r="HB30" s="1" t="n"/>
      <c r="HC30" s="1" t="n"/>
      <c r="HD30" s="1" t="n"/>
      <c r="HE30" s="1" t="n"/>
      <c r="HF30" s="1" t="n"/>
      <c r="HG30" s="1" t="n"/>
      <c r="HH30" s="1" t="n"/>
      <c r="HI30" s="1" t="n"/>
      <c r="HJ30" s="1" t="n"/>
      <c r="HK30" s="1" t="n"/>
      <c r="HL30" s="1" t="n"/>
      <c r="HM30" s="1" t="n"/>
      <c r="HN30" s="1" t="n"/>
      <c r="HO30" s="1" t="n"/>
      <c r="HP30" s="1" t="n"/>
      <c r="HQ30" s="1" t="n"/>
      <c r="HR30" s="1" t="n"/>
      <c r="HS30" s="1" t="n"/>
      <c r="HT30" s="1" t="n"/>
      <c r="HU30" s="1" t="n"/>
      <c r="HV30" s="1" t="n"/>
      <c r="HW30" s="1" t="n"/>
      <c r="HX30" s="1" t="n"/>
      <c r="HY30" s="1" t="n"/>
      <c r="HZ30" s="1" t="n"/>
      <c r="IA30" s="1" t="n"/>
      <c r="IB30" s="1" t="n"/>
      <c r="IC30" s="1" t="n"/>
      <c r="ID30" s="1" t="n"/>
      <c r="IE30" s="1" t="n"/>
      <c r="IF30" s="1" t="n"/>
      <c r="IG30" s="1" t="n"/>
      <c r="IH30" s="1" t="n"/>
      <c r="II30" s="1" t="n"/>
      <c r="IJ30" s="1" t="n"/>
      <c r="IK30" s="1" t="n"/>
      <c r="IL30" s="1" t="n"/>
      <c r="IM30" s="1" t="n"/>
      <c r="IN30" s="1" t="n"/>
      <c r="IO30" s="1" t="n"/>
      <c r="IP30" s="1" t="n"/>
      <c r="IQ30" s="1" t="n"/>
      <c r="IR30" s="1" t="n"/>
      <c r="IS30" s="1" t="n"/>
      <c r="IT30" s="1" t="n"/>
      <c r="IU30" s="1" t="n"/>
      <c r="IV30" s="1" t="n"/>
      <c r="IW30" s="1" t="n"/>
    </row>
    <row r="31" ht="20.15" customFormat="1" customHeight="1" s="1">
      <c r="A31" s="155" t="inlineStr">
        <is>
          <t>N. W.: 8.0 kg 17.64 lbs</t>
        </is>
      </c>
      <c r="C31" s="40" t="n"/>
      <c r="D31" s="156" t="n"/>
      <c r="E31" s="157" t="inlineStr">
        <is>
          <t>N. W.: 5.7 kg 12.57 lbs</t>
        </is>
      </c>
      <c r="I31" s="158" t="inlineStr">
        <is>
          <t>N. W.: 6.0 kg 13.23 lbs</t>
        </is>
      </c>
      <c r="L31" s="154" t="n"/>
    </row>
    <row r="32" ht="20.15" customFormat="1" customHeight="1" s="1">
      <c r="A32" s="155" t="inlineStr">
        <is>
          <t>G. W.: 9.4 kg 20.72 lbs</t>
        </is>
      </c>
      <c r="C32" s="40" t="n"/>
      <c r="D32" s="156" t="n"/>
      <c r="E32" s="157" t="inlineStr">
        <is>
          <t>G. W.: 10.8 kg 23.81 lbs</t>
        </is>
      </c>
      <c r="I32" s="158" t="inlineStr">
        <is>
          <t>G. W.: 13.4 kg 29.54 lbs</t>
        </is>
      </c>
      <c r="L32" s="154" t="n"/>
    </row>
    <row r="33" ht="20.15" customFormat="1" customHeight="1" s="1">
      <c r="A33" s="155" t="inlineStr">
        <is>
          <t>Dims (WDH): 425 x 325 x 255 mm</t>
        </is>
      </c>
      <c r="B33" s="33" t="n"/>
      <c r="C33" s="33" t="n"/>
      <c r="D33" s="152" t="n"/>
      <c r="E33" s="159" t="inlineStr">
        <is>
          <t>Dims (WDH): 525 x 230 x 365 mm</t>
        </is>
      </c>
      <c r="I33" s="158" t="inlineStr">
        <is>
          <t>Dims (WDH): 595 x 505 x 400 mm</t>
        </is>
      </c>
      <c r="L33" s="154" t="n"/>
    </row>
    <row r="34" ht="20.15" customFormat="1" customHeight="1" s="1">
      <c r="A34" s="155" t="inlineStr">
        <is>
          <t>(WDH): 16.7 x 12.8 x 10 inches</t>
        </is>
      </c>
      <c r="B34" s="1" t="n"/>
      <c r="C34" s="40" t="n"/>
      <c r="D34" s="156" t="n"/>
      <c r="E34" s="157" t="inlineStr">
        <is>
          <t>(WDH): 20.7 x 9.1 x 14.4 inches</t>
        </is>
      </c>
      <c r="F34" s="55" t="n"/>
      <c r="G34" s="1" t="n"/>
      <c r="H34" s="153" t="n"/>
      <c r="I34" s="155" t="inlineStr">
        <is>
          <t>(WDH): 23.4 x 19.9 x 15.7 inches</t>
        </is>
      </c>
      <c r="J34" s="39" t="n"/>
      <c r="K34" s="39" t="n"/>
      <c r="L34" s="154" t="n"/>
      <c r="N34" s="1" t="n"/>
      <c r="O34" s="40" t="n"/>
      <c r="P34" s="156" t="n"/>
      <c r="Q34" s="35" t="n"/>
      <c r="R34" s="1" t="n"/>
      <c r="S34" s="1" t="n"/>
      <c r="U34" s="153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" t="n"/>
      <c r="AY34" s="1" t="n"/>
      <c r="AZ34" s="1" t="n"/>
      <c r="BA34" s="1" t="n"/>
      <c r="BB34" s="1" t="n"/>
      <c r="BC34" s="1" t="n"/>
      <c r="BD34" s="1" t="n"/>
      <c r="BE34" s="1" t="n"/>
      <c r="BF34" s="1" t="n"/>
      <c r="BG34" s="1" t="n"/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" t="n"/>
      <c r="BQ34" s="1" t="n"/>
      <c r="BR34" s="1" t="n"/>
      <c r="BS34" s="1" t="n"/>
      <c r="BT34" s="1" t="n"/>
      <c r="BU34" s="1" t="n"/>
      <c r="BV34" s="1" t="n"/>
      <c r="BW34" s="1" t="n"/>
      <c r="BX34" s="1" t="n"/>
      <c r="BY34" s="1" t="n"/>
      <c r="BZ34" s="1" t="n"/>
      <c r="CA34" s="1" t="n"/>
      <c r="CB34" s="1" t="n"/>
      <c r="CC34" s="1" t="n"/>
      <c r="CD34" s="1" t="n"/>
      <c r="CE34" s="1" t="n"/>
      <c r="CF34" s="1" t="n"/>
      <c r="CG34" s="1" t="n"/>
      <c r="CH34" s="1" t="n"/>
      <c r="CI34" s="1" t="n"/>
      <c r="CJ34" s="1" t="n"/>
      <c r="CK34" s="1" t="n"/>
      <c r="CL34" s="1" t="n"/>
      <c r="CM34" s="1" t="n"/>
      <c r="CN34" s="1" t="n"/>
      <c r="CO34" s="1" t="n"/>
      <c r="CP34" s="1" t="n"/>
      <c r="CQ34" s="1" t="n"/>
      <c r="CR34" s="1" t="n"/>
      <c r="CS34" s="1" t="n"/>
      <c r="CT34" s="1" t="n"/>
      <c r="CU34" s="1" t="n"/>
      <c r="CV34" s="1" t="n"/>
      <c r="CW34" s="1" t="n"/>
      <c r="CX34" s="1" t="n"/>
      <c r="CY34" s="1" t="n"/>
      <c r="CZ34" s="1" t="n"/>
      <c r="DA34" s="1" t="n"/>
      <c r="DB34" s="1" t="n"/>
      <c r="DC34" s="1" t="n"/>
      <c r="DD34" s="1" t="n"/>
      <c r="DE34" s="1" t="n"/>
      <c r="DF34" s="1" t="n"/>
      <c r="DG34" s="1" t="n"/>
      <c r="DH34" s="1" t="n"/>
      <c r="DI34" s="1" t="n"/>
      <c r="DJ34" s="1" t="n"/>
      <c r="DK34" s="1" t="n"/>
      <c r="DL34" s="1" t="n"/>
      <c r="DM34" s="1" t="n"/>
      <c r="DN34" s="1" t="n"/>
      <c r="DO34" s="1" t="n"/>
      <c r="DP34" s="1" t="n"/>
      <c r="DQ34" s="1" t="n"/>
      <c r="DR34" s="1" t="n"/>
      <c r="DS34" s="1" t="n"/>
      <c r="DT34" s="1" t="n"/>
      <c r="DU34" s="1" t="n"/>
      <c r="DV34" s="1" t="n"/>
      <c r="DW34" s="1" t="n"/>
      <c r="DX34" s="1" t="n"/>
      <c r="DY34" s="1" t="n"/>
      <c r="DZ34" s="1" t="n"/>
      <c r="EA34" s="1" t="n"/>
      <c r="EB34" s="1" t="n"/>
      <c r="EC34" s="1" t="n"/>
      <c r="ED34" s="1" t="n"/>
      <c r="EE34" s="1" t="n"/>
      <c r="EF34" s="1" t="n"/>
      <c r="EG34" s="1" t="n"/>
      <c r="EH34" s="1" t="n"/>
      <c r="EI34" s="1" t="n"/>
      <c r="EJ34" s="1" t="n"/>
      <c r="EK34" s="1" t="n"/>
      <c r="EL34" s="1" t="n"/>
      <c r="EM34" s="1" t="n"/>
      <c r="EN34" s="1" t="n"/>
      <c r="EO34" s="1" t="n"/>
      <c r="EP34" s="1" t="n"/>
      <c r="EQ34" s="1" t="n"/>
      <c r="ER34" s="1" t="n"/>
      <c r="ES34" s="1" t="n"/>
      <c r="ET34" s="1" t="n"/>
      <c r="EU34" s="1" t="n"/>
      <c r="EV34" s="1" t="n"/>
      <c r="EW34" s="1" t="n"/>
      <c r="EX34" s="1" t="n"/>
      <c r="EY34" s="1" t="n"/>
      <c r="EZ34" s="1" t="n"/>
      <c r="FA34" s="1" t="n"/>
      <c r="FB34" s="1" t="n"/>
      <c r="FC34" s="1" t="n"/>
      <c r="FD34" s="1" t="n"/>
      <c r="FE34" s="1" t="n"/>
      <c r="FF34" s="1" t="n"/>
      <c r="FG34" s="1" t="n"/>
      <c r="FH34" s="1" t="n"/>
      <c r="FI34" s="1" t="n"/>
      <c r="FJ34" s="1" t="n"/>
      <c r="FK34" s="1" t="n"/>
      <c r="FL34" s="1" t="n"/>
      <c r="FM34" s="1" t="n"/>
      <c r="FN34" s="1" t="n"/>
      <c r="FO34" s="1" t="n"/>
      <c r="FP34" s="1" t="n"/>
      <c r="FQ34" s="1" t="n"/>
      <c r="FR34" s="1" t="n"/>
      <c r="FS34" s="1" t="n"/>
      <c r="FT34" s="1" t="n"/>
      <c r="FU34" s="1" t="n"/>
      <c r="FV34" s="1" t="n"/>
      <c r="FW34" s="1" t="n"/>
      <c r="FX34" s="1" t="n"/>
      <c r="FY34" s="1" t="n"/>
      <c r="FZ34" s="1" t="n"/>
      <c r="GA34" s="1" t="n"/>
      <c r="GB34" s="1" t="n"/>
      <c r="GC34" s="1" t="n"/>
      <c r="GD34" s="1" t="n"/>
      <c r="GE34" s="1" t="n"/>
      <c r="GF34" s="1" t="n"/>
      <c r="GG34" s="1" t="n"/>
      <c r="GH34" s="1" t="n"/>
      <c r="GI34" s="1" t="n"/>
      <c r="GJ34" s="1" t="n"/>
      <c r="GK34" s="1" t="n"/>
      <c r="GL34" s="1" t="n"/>
      <c r="GM34" s="1" t="n"/>
      <c r="GN34" s="1" t="n"/>
      <c r="GO34" s="1" t="n"/>
      <c r="GP34" s="1" t="n"/>
      <c r="GQ34" s="1" t="n"/>
      <c r="GR34" s="1" t="n"/>
      <c r="GS34" s="1" t="n"/>
      <c r="GT34" s="1" t="n"/>
      <c r="GU34" s="1" t="n"/>
      <c r="GV34" s="1" t="n"/>
      <c r="GW34" s="1" t="n"/>
      <c r="GX34" s="1" t="n"/>
      <c r="GY34" s="1" t="n"/>
      <c r="GZ34" s="1" t="n"/>
      <c r="HA34" s="1" t="n"/>
      <c r="HB34" s="1" t="n"/>
      <c r="HC34" s="1" t="n"/>
      <c r="HD34" s="1" t="n"/>
      <c r="HE34" s="1" t="n"/>
      <c r="HF34" s="1" t="n"/>
      <c r="HG34" s="1" t="n"/>
      <c r="HH34" s="1" t="n"/>
      <c r="HI34" s="1" t="n"/>
      <c r="HJ34" s="1" t="n"/>
      <c r="HK34" s="1" t="n"/>
      <c r="HL34" s="1" t="n"/>
      <c r="HM34" s="1" t="n"/>
      <c r="HN34" s="1" t="n"/>
      <c r="HO34" s="1" t="n"/>
      <c r="HP34" s="1" t="n"/>
      <c r="HQ34" s="1" t="n"/>
      <c r="HR34" s="1" t="n"/>
      <c r="HS34" s="1" t="n"/>
      <c r="HT34" s="1" t="n"/>
      <c r="HU34" s="1" t="n"/>
      <c r="HV34" s="1" t="n"/>
      <c r="HW34" s="1" t="n"/>
      <c r="HX34" s="1" t="n"/>
      <c r="HY34" s="1" t="n"/>
      <c r="HZ34" s="1" t="n"/>
      <c r="IA34" s="1" t="n"/>
      <c r="IB34" s="1" t="n"/>
      <c r="IC34" s="1" t="n"/>
      <c r="ID34" s="1" t="n"/>
      <c r="IE34" s="1" t="n"/>
      <c r="IF34" s="1" t="n"/>
      <c r="IG34" s="1" t="n"/>
      <c r="IH34" s="1" t="n"/>
      <c r="II34" s="1" t="n"/>
      <c r="IJ34" s="1" t="n"/>
      <c r="IK34" s="1" t="n"/>
      <c r="IL34" s="1" t="n"/>
      <c r="IM34" s="1" t="n"/>
      <c r="IN34" s="1" t="n"/>
      <c r="IO34" s="1" t="n"/>
      <c r="IP34" s="1" t="n"/>
      <c r="IQ34" s="1" t="n"/>
      <c r="IR34" s="1" t="n"/>
      <c r="IS34" s="1" t="n"/>
      <c r="IT34" s="1" t="n"/>
      <c r="IU34" s="1" t="n"/>
      <c r="IV34" s="1" t="n"/>
      <c r="IW34" s="1" t="n"/>
    </row>
    <row r="35" ht="15.5" customHeight="1">
      <c r="A35" s="155" t="inlineStr">
        <is>
          <t>Made in Vietnam</t>
        </is>
      </c>
      <c r="D35" s="55" t="n"/>
      <c r="E35" s="158" t="inlineStr">
        <is>
          <t>Made in Vietnam</t>
        </is>
      </c>
      <c r="F35" s="55" t="n"/>
      <c r="G35" s="1" t="n"/>
      <c r="H35" s="1" t="n"/>
      <c r="I35" s="155" t="inlineStr">
        <is>
          <t>Made in Vietnam</t>
        </is>
      </c>
      <c r="J35" s="153" t="n"/>
      <c r="K35" s="1" t="n"/>
      <c r="L35" s="154" t="n"/>
      <c r="N35" s="1" t="n"/>
      <c r="O35" s="40" t="n"/>
      <c r="P35" s="156" t="n"/>
      <c r="Q35" s="35" t="n"/>
      <c r="R35" s="1" t="n"/>
      <c r="S35" s="1" t="n"/>
      <c r="U35" s="153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  <c r="AY35" s="1" t="n"/>
      <c r="AZ35" s="1" t="n"/>
      <c r="BA35" s="1" t="n"/>
      <c r="BB35" s="1" t="n"/>
      <c r="BC35" s="1" t="n"/>
      <c r="BD35" s="1" t="n"/>
      <c r="BE35" s="1" t="n"/>
      <c r="BF35" s="1" t="n"/>
      <c r="BG35" s="1" t="n"/>
      <c r="BH35" s="1" t="n"/>
      <c r="BI35" s="1" t="n"/>
      <c r="BJ35" s="1" t="n"/>
      <c r="BK35" s="1" t="n"/>
      <c r="BL35" s="1" t="n"/>
      <c r="BM35" s="1" t="n"/>
      <c r="BN35" s="1" t="n"/>
      <c r="BO35" s="1" t="n"/>
      <c r="BP35" s="1" t="n"/>
      <c r="BQ35" s="1" t="n"/>
      <c r="BR35" s="1" t="n"/>
      <c r="BS35" s="1" t="n"/>
      <c r="BT35" s="1" t="n"/>
      <c r="BU35" s="1" t="n"/>
      <c r="BV35" s="1" t="n"/>
      <c r="BW35" s="1" t="n"/>
      <c r="BX35" s="1" t="n"/>
      <c r="BY35" s="1" t="n"/>
      <c r="BZ35" s="1" t="n"/>
      <c r="CA35" s="1" t="n"/>
      <c r="CB35" s="1" t="n"/>
      <c r="CC35" s="1" t="n"/>
      <c r="CD35" s="1" t="n"/>
      <c r="CE35" s="1" t="n"/>
      <c r="CF35" s="1" t="n"/>
      <c r="CG35" s="1" t="n"/>
      <c r="CH35" s="1" t="n"/>
      <c r="CI35" s="1" t="n"/>
      <c r="CJ35" s="1" t="n"/>
      <c r="CK35" s="1" t="n"/>
      <c r="CL35" s="1" t="n"/>
      <c r="CM35" s="1" t="n"/>
      <c r="CN35" s="1" t="n"/>
      <c r="CO35" s="1" t="n"/>
      <c r="CP35" s="1" t="n"/>
      <c r="CQ35" s="1" t="n"/>
      <c r="CR35" s="1" t="n"/>
      <c r="CS35" s="1" t="n"/>
      <c r="CT35" s="1" t="n"/>
      <c r="CU35" s="1" t="n"/>
      <c r="CV35" s="1" t="n"/>
      <c r="CW35" s="1" t="n"/>
      <c r="CX35" s="1" t="n"/>
      <c r="CY35" s="1" t="n"/>
      <c r="CZ35" s="1" t="n"/>
      <c r="DA35" s="1" t="n"/>
      <c r="DB35" s="1" t="n"/>
      <c r="DC35" s="1" t="n"/>
      <c r="DD35" s="1" t="n"/>
      <c r="DE35" s="1" t="n"/>
      <c r="DF35" s="1" t="n"/>
      <c r="DG35" s="1" t="n"/>
      <c r="DH35" s="1" t="n"/>
      <c r="DI35" s="1" t="n"/>
      <c r="DJ35" s="1" t="n"/>
      <c r="DK35" s="1" t="n"/>
      <c r="DL35" s="1" t="n"/>
      <c r="DM35" s="1" t="n"/>
      <c r="DN35" s="1" t="n"/>
      <c r="DO35" s="1" t="n"/>
      <c r="DP35" s="1" t="n"/>
      <c r="DQ35" s="1" t="n"/>
      <c r="DR35" s="1" t="n"/>
      <c r="DS35" s="1" t="n"/>
      <c r="DT35" s="1" t="n"/>
      <c r="DU35" s="1" t="n"/>
      <c r="DV35" s="1" t="n"/>
      <c r="DW35" s="1" t="n"/>
      <c r="DX35" s="1" t="n"/>
      <c r="DY35" s="1" t="n"/>
      <c r="DZ35" s="1" t="n"/>
      <c r="EA35" s="1" t="n"/>
      <c r="EB35" s="1" t="n"/>
      <c r="EC35" s="1" t="n"/>
      <c r="ED35" s="1" t="n"/>
      <c r="EE35" s="1" t="n"/>
      <c r="EF35" s="1" t="n"/>
      <c r="EG35" s="1" t="n"/>
      <c r="EH35" s="1" t="n"/>
      <c r="EI35" s="1" t="n"/>
      <c r="EJ35" s="1" t="n"/>
      <c r="EK35" s="1" t="n"/>
      <c r="EL35" s="1" t="n"/>
      <c r="EM35" s="1" t="n"/>
      <c r="EN35" s="1" t="n"/>
      <c r="EO35" s="1" t="n"/>
      <c r="EP35" s="1" t="n"/>
      <c r="EQ35" s="1" t="n"/>
      <c r="ER35" s="1" t="n"/>
      <c r="ES35" s="1" t="n"/>
      <c r="ET35" s="1" t="n"/>
      <c r="EU35" s="1" t="n"/>
      <c r="EV35" s="1" t="n"/>
      <c r="EW35" s="1" t="n"/>
      <c r="EX35" s="1" t="n"/>
      <c r="EY35" s="1" t="n"/>
      <c r="EZ35" s="1" t="n"/>
      <c r="FA35" s="1" t="n"/>
      <c r="FB35" s="1" t="n"/>
      <c r="FC35" s="1" t="n"/>
      <c r="FD35" s="1" t="n"/>
      <c r="FE35" s="1" t="n"/>
      <c r="FF35" s="1" t="n"/>
      <c r="FG35" s="1" t="n"/>
      <c r="FH35" s="1" t="n"/>
      <c r="FI35" s="1" t="n"/>
      <c r="FJ35" s="1" t="n"/>
      <c r="FK35" s="1" t="n"/>
      <c r="FL35" s="1" t="n"/>
      <c r="FM35" s="1" t="n"/>
      <c r="FN35" s="1" t="n"/>
      <c r="FO35" s="1" t="n"/>
      <c r="FP35" s="1" t="n"/>
      <c r="FQ35" s="1" t="n"/>
      <c r="FR35" s="1" t="n"/>
      <c r="FS35" s="1" t="n"/>
      <c r="FT35" s="1" t="n"/>
      <c r="FU35" s="1" t="n"/>
      <c r="FV35" s="1" t="n"/>
      <c r="FW35" s="1" t="n"/>
      <c r="FX35" s="1" t="n"/>
      <c r="FY35" s="1" t="n"/>
      <c r="FZ35" s="1" t="n"/>
      <c r="GA35" s="1" t="n"/>
      <c r="GB35" s="1" t="n"/>
      <c r="GC35" s="1" t="n"/>
      <c r="GD35" s="1" t="n"/>
      <c r="GE35" s="1" t="n"/>
      <c r="GF35" s="1" t="n"/>
      <c r="GG35" s="1" t="n"/>
      <c r="GH35" s="1" t="n"/>
      <c r="GI35" s="1" t="n"/>
      <c r="GJ35" s="1" t="n"/>
      <c r="GK35" s="1" t="n"/>
      <c r="GL35" s="1" t="n"/>
      <c r="GM35" s="1" t="n"/>
      <c r="GN35" s="1" t="n"/>
      <c r="GO35" s="1" t="n"/>
      <c r="GP35" s="1" t="n"/>
      <c r="GQ35" s="1" t="n"/>
      <c r="GR35" s="1" t="n"/>
      <c r="GS35" s="1" t="n"/>
      <c r="GT35" s="1" t="n"/>
      <c r="GU35" s="1" t="n"/>
      <c r="GV35" s="1" t="n"/>
      <c r="GW35" s="1" t="n"/>
      <c r="GX35" s="1" t="n"/>
      <c r="GY35" s="1" t="n"/>
      <c r="GZ35" s="1" t="n"/>
      <c r="HA35" s="1" t="n"/>
      <c r="HB35" s="1" t="n"/>
      <c r="HC35" s="1" t="n"/>
      <c r="HD35" s="1" t="n"/>
      <c r="HE35" s="1" t="n"/>
      <c r="HF35" s="1" t="n"/>
      <c r="HG35" s="1" t="n"/>
      <c r="HH35" s="1" t="n"/>
      <c r="HI35" s="1" t="n"/>
      <c r="HJ35" s="1" t="n"/>
      <c r="HK35" s="1" t="n"/>
      <c r="HL35" s="1" t="n"/>
      <c r="HM35" s="1" t="n"/>
      <c r="HN35" s="1" t="n"/>
      <c r="HO35" s="1" t="n"/>
      <c r="HP35" s="1" t="n"/>
      <c r="HQ35" s="1" t="n"/>
      <c r="HR35" s="1" t="n"/>
      <c r="HS35" s="1" t="n"/>
      <c r="HT35" s="1" t="n"/>
      <c r="HU35" s="1" t="n"/>
      <c r="HV35" s="1" t="n"/>
      <c r="HW35" s="1" t="n"/>
      <c r="HX35" s="1" t="n"/>
      <c r="HY35" s="1" t="n"/>
      <c r="HZ35" s="1" t="n"/>
      <c r="IA35" s="1" t="n"/>
      <c r="IB35" s="1" t="n"/>
      <c r="IC35" s="1" t="n"/>
      <c r="ID35" s="1" t="n"/>
      <c r="IE35" s="1" t="n"/>
      <c r="IF35" s="1" t="n"/>
      <c r="IG35" s="1" t="n"/>
      <c r="IH35" s="1" t="n"/>
      <c r="II35" s="1" t="n"/>
      <c r="IJ35" s="1" t="n"/>
      <c r="IK35" s="1" t="n"/>
      <c r="IL35" s="1" t="n"/>
      <c r="IM35" s="1" t="n"/>
      <c r="IN35" s="1" t="n"/>
      <c r="IO35" s="1" t="n"/>
      <c r="IP35" s="1" t="n"/>
      <c r="IQ35" s="1" t="n"/>
      <c r="IR35" s="1" t="n"/>
      <c r="IS35" s="1" t="n"/>
      <c r="IT35" s="1" t="n"/>
      <c r="IU35" s="1" t="n"/>
      <c r="IV35" s="1" t="n"/>
      <c r="IW35" s="1" t="n"/>
    </row>
    <row r="36" ht="15.5" customHeight="1">
      <c r="A36" s="155" t="inlineStr">
        <is>
          <t>*** GOODS ROHS COMPLIANT***</t>
        </is>
      </c>
      <c r="C36" s="40" t="n"/>
      <c r="D36" s="156" t="n"/>
      <c r="E36" s="157" t="inlineStr">
        <is>
          <t>*** GOODS ROHS COMPLIANT***</t>
        </is>
      </c>
      <c r="I36" s="158" t="inlineStr">
        <is>
          <t>*** GOODS ROHS COMPLIANT***</t>
        </is>
      </c>
      <c r="L36" s="154" t="n"/>
    </row>
    <row r="37" ht="20.15" customFormat="1" customHeight="1" s="1">
      <c r="A37" s="65" t="inlineStr">
        <is>
          <t>RFID</t>
        </is>
      </c>
      <c r="C37" s="40" t="n"/>
      <c r="D37" s="156" t="n"/>
      <c r="E37" s="156" t="n"/>
      <c r="I37" s="160" t="n"/>
      <c r="L37" s="154" t="n"/>
    </row>
    <row r="38" ht="20.15" customFormat="1" customHeight="1" s="1">
      <c r="A38" s="65" t="n"/>
      <c r="C38" s="40" t="n"/>
      <c r="D38" s="156" t="n"/>
      <c r="E38" s="156" t="n"/>
      <c r="G38" s="160" t="n"/>
      <c r="I38" s="160" t="n"/>
      <c r="L38" s="154" t="n"/>
    </row>
    <row r="39" ht="20.15" customFormat="1" customHeight="1" s="1">
      <c r="A39" s="161" t="inlineStr">
        <is>
          <t>Part Number: 0266MAGFM-2PXCES0</t>
        </is>
      </c>
      <c r="C39" s="40" t="n"/>
      <c r="D39" s="156" t="n"/>
      <c r="E39" s="156" t="n"/>
      <c r="I39" s="65" t="n"/>
      <c r="L39" s="154" t="n"/>
    </row>
    <row r="40" ht="20.15" customFormat="1" customHeight="1" s="1">
      <c r="A40" s="162" t="inlineStr">
        <is>
          <t>PO#: 163103</t>
        </is>
      </c>
      <c r="C40" s="40" t="n"/>
      <c r="D40" s="156" t="n"/>
      <c r="E40" s="156" t="n"/>
      <c r="I40" s="65" t="n"/>
      <c r="L40" s="154" t="n"/>
    </row>
    <row r="41" ht="20.15" customFormat="1" customHeight="1" s="1">
      <c r="A41" s="162" t="inlineStr">
        <is>
          <t>Date Code: 待確認</t>
        </is>
      </c>
      <c r="C41" s="40" t="n"/>
      <c r="D41" s="156" t="n"/>
      <c r="E41" s="156" t="n"/>
      <c r="I41" s="65" t="n"/>
      <c r="L41" s="154" t="n"/>
    </row>
    <row r="42" ht="16" customHeight="1" thickBot="1">
      <c r="A42" s="162" t="inlineStr">
        <is>
          <t>C/N: of 10</t>
        </is>
      </c>
      <c r="B42" s="33" t="n"/>
      <c r="C42" s="33" t="n"/>
      <c r="D42" s="152" t="n"/>
      <c r="E42" s="152" t="n"/>
      <c r="I42" s="65" t="n"/>
      <c r="L42" s="154" t="n"/>
    </row>
    <row r="43" ht="16" customHeight="1" thickTop="1">
      <c r="A43" s="162" t="inlineStr">
        <is>
          <t>Qty: 100 pcs</t>
        </is>
      </c>
      <c r="B43" s="1" t="n"/>
      <c r="C43" s="40" t="n"/>
      <c r="D43" s="156" t="n"/>
      <c r="E43" s="156" t="n"/>
      <c r="F43" s="35" t="n"/>
      <c r="G43" s="1" t="n"/>
      <c r="H43" s="1" t="n"/>
      <c r="I43" s="65" t="n"/>
      <c r="J43" s="39" t="n"/>
      <c r="K43" s="39" t="n"/>
      <c r="L43" s="154" t="n"/>
      <c r="N43" s="1" t="n"/>
      <c r="O43" s="40" t="n"/>
      <c r="P43" s="156" t="n"/>
      <c r="Q43" s="35" t="n"/>
      <c r="R43" s="1" t="n"/>
      <c r="S43" s="1" t="n"/>
      <c r="U43" s="153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" t="n"/>
      <c r="AY43" s="1" t="n"/>
      <c r="AZ43" s="1" t="n"/>
      <c r="BA43" s="1" t="n"/>
      <c r="BB43" s="1" t="n"/>
      <c r="BC43" s="1" t="n"/>
      <c r="BD43" s="1" t="n"/>
      <c r="BE43" s="1" t="n"/>
      <c r="BF43" s="1" t="n"/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" t="n"/>
      <c r="BQ43" s="1" t="n"/>
      <c r="BR43" s="1" t="n"/>
      <c r="BS43" s="1" t="n"/>
      <c r="BT43" s="1" t="n"/>
      <c r="BU43" s="1" t="n"/>
      <c r="BV43" s="1" t="n"/>
      <c r="BW43" s="1" t="n"/>
      <c r="BX43" s="1" t="n"/>
      <c r="BY43" s="1" t="n"/>
      <c r="BZ43" s="1" t="n"/>
      <c r="CA43" s="1" t="n"/>
      <c r="CB43" s="1" t="n"/>
      <c r="CC43" s="1" t="n"/>
      <c r="CD43" s="1" t="n"/>
      <c r="CE43" s="1" t="n"/>
      <c r="CF43" s="1" t="n"/>
      <c r="CG43" s="1" t="n"/>
      <c r="CH43" s="1" t="n"/>
      <c r="CI43" s="1" t="n"/>
      <c r="CJ43" s="1" t="n"/>
      <c r="CK43" s="1" t="n"/>
      <c r="CL43" s="1" t="n"/>
      <c r="CM43" s="1" t="n"/>
      <c r="CN43" s="1" t="n"/>
      <c r="CO43" s="1" t="n"/>
      <c r="CP43" s="1" t="n"/>
      <c r="CQ43" s="1" t="n"/>
      <c r="CR43" s="1" t="n"/>
      <c r="CS43" s="1" t="n"/>
      <c r="CT43" s="1" t="n"/>
      <c r="CU43" s="1" t="n"/>
      <c r="CV43" s="1" t="n"/>
      <c r="CW43" s="1" t="n"/>
      <c r="CX43" s="1" t="n"/>
      <c r="CY43" s="1" t="n"/>
      <c r="CZ43" s="1" t="n"/>
      <c r="DA43" s="1" t="n"/>
      <c r="DB43" s="1" t="n"/>
      <c r="DC43" s="1" t="n"/>
      <c r="DD43" s="1" t="n"/>
      <c r="DE43" s="1" t="n"/>
      <c r="DF43" s="1" t="n"/>
      <c r="DG43" s="1" t="n"/>
      <c r="DH43" s="1" t="n"/>
      <c r="DI43" s="1" t="n"/>
      <c r="DJ43" s="1" t="n"/>
      <c r="DK43" s="1" t="n"/>
      <c r="DL43" s="1" t="n"/>
      <c r="DM43" s="1" t="n"/>
      <c r="DN43" s="1" t="n"/>
      <c r="DO43" s="1" t="n"/>
      <c r="DP43" s="1" t="n"/>
      <c r="DQ43" s="1" t="n"/>
      <c r="DR43" s="1" t="n"/>
      <c r="DS43" s="1" t="n"/>
      <c r="DT43" s="1" t="n"/>
      <c r="DU43" s="1" t="n"/>
      <c r="DV43" s="1" t="n"/>
      <c r="DW43" s="1" t="n"/>
      <c r="DX43" s="1" t="n"/>
      <c r="DY43" s="1" t="n"/>
      <c r="DZ43" s="1" t="n"/>
      <c r="EA43" s="1" t="n"/>
      <c r="EB43" s="1" t="n"/>
      <c r="EC43" s="1" t="n"/>
      <c r="ED43" s="1" t="n"/>
      <c r="EE43" s="1" t="n"/>
      <c r="EF43" s="1" t="n"/>
      <c r="EG43" s="1" t="n"/>
      <c r="EH43" s="1" t="n"/>
      <c r="EI43" s="1" t="n"/>
      <c r="EJ43" s="1" t="n"/>
      <c r="EK43" s="1" t="n"/>
      <c r="EL43" s="1" t="n"/>
      <c r="EM43" s="1" t="n"/>
      <c r="EN43" s="1" t="n"/>
      <c r="EO43" s="1" t="n"/>
      <c r="EP43" s="1" t="n"/>
      <c r="EQ43" s="1" t="n"/>
      <c r="ER43" s="1" t="n"/>
      <c r="ES43" s="1" t="n"/>
      <c r="ET43" s="1" t="n"/>
      <c r="EU43" s="1" t="n"/>
      <c r="EV43" s="1" t="n"/>
      <c r="EW43" s="1" t="n"/>
      <c r="EX43" s="1" t="n"/>
      <c r="EY43" s="1" t="n"/>
      <c r="EZ43" s="1" t="n"/>
      <c r="FA43" s="1" t="n"/>
      <c r="FB43" s="1" t="n"/>
      <c r="FC43" s="1" t="n"/>
      <c r="FD43" s="1" t="n"/>
      <c r="FE43" s="1" t="n"/>
      <c r="FF43" s="1" t="n"/>
      <c r="FG43" s="1" t="n"/>
      <c r="FH43" s="1" t="n"/>
      <c r="FI43" s="1" t="n"/>
      <c r="FJ43" s="1" t="n"/>
      <c r="FK43" s="1" t="n"/>
      <c r="FL43" s="1" t="n"/>
      <c r="FM43" s="1" t="n"/>
      <c r="FN43" s="1" t="n"/>
      <c r="FO43" s="1" t="n"/>
      <c r="FP43" s="1" t="n"/>
      <c r="FQ43" s="1" t="n"/>
      <c r="FR43" s="1" t="n"/>
      <c r="FS43" s="1" t="n"/>
      <c r="FT43" s="1" t="n"/>
      <c r="FU43" s="1" t="n"/>
      <c r="FV43" s="1" t="n"/>
      <c r="FW43" s="1" t="n"/>
      <c r="FX43" s="1" t="n"/>
      <c r="FY43" s="1" t="n"/>
      <c r="FZ43" s="1" t="n"/>
      <c r="GA43" s="1" t="n"/>
      <c r="GB43" s="1" t="n"/>
      <c r="GC43" s="1" t="n"/>
      <c r="GD43" s="1" t="n"/>
      <c r="GE43" s="1" t="n"/>
      <c r="GF43" s="1" t="n"/>
      <c r="GG43" s="1" t="n"/>
      <c r="GH43" s="1" t="n"/>
      <c r="GI43" s="1" t="n"/>
      <c r="GJ43" s="1" t="n"/>
      <c r="GK43" s="1" t="n"/>
      <c r="GL43" s="1" t="n"/>
      <c r="GM43" s="1" t="n"/>
      <c r="GN43" s="1" t="n"/>
      <c r="GO43" s="1" t="n"/>
      <c r="GP43" s="1" t="n"/>
      <c r="GQ43" s="1" t="n"/>
      <c r="GR43" s="1" t="n"/>
      <c r="GS43" s="1" t="n"/>
      <c r="GT43" s="1" t="n"/>
      <c r="GU43" s="1" t="n"/>
      <c r="GV43" s="1" t="n"/>
      <c r="GW43" s="1" t="n"/>
      <c r="GX43" s="1" t="n"/>
      <c r="GY43" s="1" t="n"/>
      <c r="GZ43" s="1" t="n"/>
      <c r="HA43" s="1" t="n"/>
      <c r="HB43" s="1" t="n"/>
      <c r="HC43" s="1" t="n"/>
      <c r="HD43" s="1" t="n"/>
      <c r="HE43" s="1" t="n"/>
      <c r="HF43" s="1" t="n"/>
      <c r="HG43" s="1" t="n"/>
      <c r="HH43" s="1" t="n"/>
      <c r="HI43" s="1" t="n"/>
      <c r="HJ43" s="1" t="n"/>
      <c r="HK43" s="1" t="n"/>
      <c r="HL43" s="1" t="n"/>
      <c r="HM43" s="1" t="n"/>
      <c r="HN43" s="1" t="n"/>
      <c r="HO43" s="1" t="n"/>
      <c r="HP43" s="1" t="n"/>
      <c r="HQ43" s="1" t="n"/>
      <c r="HR43" s="1" t="n"/>
      <c r="HS43" s="1" t="n"/>
      <c r="HT43" s="1" t="n"/>
      <c r="HU43" s="1" t="n"/>
      <c r="HV43" s="1" t="n"/>
      <c r="HW43" s="1" t="n"/>
      <c r="HX43" s="1" t="n"/>
      <c r="HY43" s="1" t="n"/>
      <c r="HZ43" s="1" t="n"/>
      <c r="IA43" s="1" t="n"/>
      <c r="IB43" s="1" t="n"/>
      <c r="IC43" s="1" t="n"/>
      <c r="ID43" s="1" t="n"/>
      <c r="IE43" s="1" t="n"/>
      <c r="IF43" s="1" t="n"/>
      <c r="IG43" s="1" t="n"/>
      <c r="IH43" s="1" t="n"/>
      <c r="II43" s="1" t="n"/>
      <c r="IJ43" s="1" t="n"/>
      <c r="IK43" s="1" t="n"/>
      <c r="IL43" s="1" t="n"/>
      <c r="IM43" s="1" t="n"/>
      <c r="IN43" s="1" t="n"/>
      <c r="IO43" s="1" t="n"/>
      <c r="IP43" s="1" t="n"/>
      <c r="IQ43" s="1" t="n"/>
      <c r="IR43" s="1" t="n"/>
      <c r="IS43" s="1" t="n"/>
      <c r="IT43" s="1" t="n"/>
      <c r="IU43" s="1" t="n"/>
      <c r="IV43" s="1" t="n"/>
      <c r="IW43" s="1" t="n"/>
    </row>
    <row r="44">
      <c r="A44" s="161" t="inlineStr">
        <is>
          <t>N. W.: 6.7 kg 14.77 lbs</t>
        </is>
      </c>
      <c r="D44" s="55" t="n"/>
      <c r="E44" s="55" t="n"/>
      <c r="F44" s="55" t="n"/>
      <c r="G44" s="1" t="n"/>
      <c r="H44" s="1" t="n"/>
      <c r="I44" s="65" t="n"/>
      <c r="J44" s="153" t="n"/>
      <c r="K44" s="1" t="n"/>
      <c r="L44" s="154" t="n"/>
      <c r="N44" s="1" t="n"/>
      <c r="O44" s="40" t="n"/>
      <c r="P44" s="156" t="n"/>
      <c r="Q44" s="35" t="n"/>
      <c r="R44" s="1" t="n"/>
      <c r="S44" s="1" t="n"/>
      <c r="U44" s="153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" t="n"/>
      <c r="AY44" s="1" t="n"/>
      <c r="AZ44" s="1" t="n"/>
      <c r="BA44" s="1" t="n"/>
      <c r="BB44" s="1" t="n"/>
      <c r="BC44" s="1" t="n"/>
      <c r="BD44" s="1" t="n"/>
      <c r="BE44" s="1" t="n"/>
      <c r="BF44" s="1" t="n"/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" t="n"/>
      <c r="BQ44" s="1" t="n"/>
      <c r="BR44" s="1" t="n"/>
      <c r="BS44" s="1" t="n"/>
      <c r="BT44" s="1" t="n"/>
      <c r="BU44" s="1" t="n"/>
      <c r="BV44" s="1" t="n"/>
      <c r="BW44" s="1" t="n"/>
      <c r="BX44" s="1" t="n"/>
      <c r="BY44" s="1" t="n"/>
      <c r="BZ44" s="1" t="n"/>
      <c r="CA44" s="1" t="n"/>
      <c r="CB44" s="1" t="n"/>
      <c r="CC44" s="1" t="n"/>
      <c r="CD44" s="1" t="n"/>
      <c r="CE44" s="1" t="n"/>
      <c r="CF44" s="1" t="n"/>
      <c r="CG44" s="1" t="n"/>
      <c r="CH44" s="1" t="n"/>
      <c r="CI44" s="1" t="n"/>
      <c r="CJ44" s="1" t="n"/>
      <c r="CK44" s="1" t="n"/>
      <c r="CL44" s="1" t="n"/>
      <c r="CM44" s="1" t="n"/>
      <c r="CN44" s="1" t="n"/>
      <c r="CO44" s="1" t="n"/>
      <c r="CP44" s="1" t="n"/>
      <c r="CQ44" s="1" t="n"/>
      <c r="CR44" s="1" t="n"/>
      <c r="CS44" s="1" t="n"/>
      <c r="CT44" s="1" t="n"/>
      <c r="CU44" s="1" t="n"/>
      <c r="CV44" s="1" t="n"/>
      <c r="CW44" s="1" t="n"/>
      <c r="CX44" s="1" t="n"/>
      <c r="CY44" s="1" t="n"/>
      <c r="CZ44" s="1" t="n"/>
      <c r="DA44" s="1" t="n"/>
      <c r="DB44" s="1" t="n"/>
      <c r="DC44" s="1" t="n"/>
      <c r="DD44" s="1" t="n"/>
      <c r="DE44" s="1" t="n"/>
      <c r="DF44" s="1" t="n"/>
      <c r="DG44" s="1" t="n"/>
      <c r="DH44" s="1" t="n"/>
      <c r="DI44" s="1" t="n"/>
      <c r="DJ44" s="1" t="n"/>
      <c r="DK44" s="1" t="n"/>
      <c r="DL44" s="1" t="n"/>
      <c r="DM44" s="1" t="n"/>
      <c r="DN44" s="1" t="n"/>
      <c r="DO44" s="1" t="n"/>
      <c r="DP44" s="1" t="n"/>
      <c r="DQ44" s="1" t="n"/>
      <c r="DR44" s="1" t="n"/>
      <c r="DS44" s="1" t="n"/>
      <c r="DT44" s="1" t="n"/>
      <c r="DU44" s="1" t="n"/>
      <c r="DV44" s="1" t="n"/>
      <c r="DW44" s="1" t="n"/>
      <c r="DX44" s="1" t="n"/>
      <c r="DY44" s="1" t="n"/>
      <c r="DZ44" s="1" t="n"/>
      <c r="EA44" s="1" t="n"/>
      <c r="EB44" s="1" t="n"/>
      <c r="EC44" s="1" t="n"/>
      <c r="ED44" s="1" t="n"/>
      <c r="EE44" s="1" t="n"/>
      <c r="EF44" s="1" t="n"/>
      <c r="EG44" s="1" t="n"/>
      <c r="EH44" s="1" t="n"/>
      <c r="EI44" s="1" t="n"/>
      <c r="EJ44" s="1" t="n"/>
      <c r="EK44" s="1" t="n"/>
      <c r="EL44" s="1" t="n"/>
      <c r="EM44" s="1" t="n"/>
      <c r="EN44" s="1" t="n"/>
      <c r="EO44" s="1" t="n"/>
      <c r="EP44" s="1" t="n"/>
      <c r="EQ44" s="1" t="n"/>
      <c r="ER44" s="1" t="n"/>
      <c r="ES44" s="1" t="n"/>
      <c r="ET44" s="1" t="n"/>
      <c r="EU44" s="1" t="n"/>
      <c r="EV44" s="1" t="n"/>
      <c r="EW44" s="1" t="n"/>
      <c r="EX44" s="1" t="n"/>
      <c r="EY44" s="1" t="n"/>
      <c r="EZ44" s="1" t="n"/>
      <c r="FA44" s="1" t="n"/>
      <c r="FB44" s="1" t="n"/>
      <c r="FC44" s="1" t="n"/>
      <c r="FD44" s="1" t="n"/>
      <c r="FE44" s="1" t="n"/>
      <c r="FF44" s="1" t="n"/>
      <c r="FG44" s="1" t="n"/>
      <c r="FH44" s="1" t="n"/>
      <c r="FI44" s="1" t="n"/>
      <c r="FJ44" s="1" t="n"/>
      <c r="FK44" s="1" t="n"/>
      <c r="FL44" s="1" t="n"/>
      <c r="FM44" s="1" t="n"/>
      <c r="FN44" s="1" t="n"/>
      <c r="FO44" s="1" t="n"/>
      <c r="FP44" s="1" t="n"/>
      <c r="FQ44" s="1" t="n"/>
      <c r="FR44" s="1" t="n"/>
      <c r="FS44" s="1" t="n"/>
      <c r="FT44" s="1" t="n"/>
      <c r="FU44" s="1" t="n"/>
      <c r="FV44" s="1" t="n"/>
      <c r="FW44" s="1" t="n"/>
      <c r="FX44" s="1" t="n"/>
      <c r="FY44" s="1" t="n"/>
      <c r="FZ44" s="1" t="n"/>
      <c r="GA44" s="1" t="n"/>
      <c r="GB44" s="1" t="n"/>
      <c r="GC44" s="1" t="n"/>
      <c r="GD44" s="1" t="n"/>
      <c r="GE44" s="1" t="n"/>
      <c r="GF44" s="1" t="n"/>
      <c r="GG44" s="1" t="n"/>
      <c r="GH44" s="1" t="n"/>
      <c r="GI44" s="1" t="n"/>
      <c r="GJ44" s="1" t="n"/>
      <c r="GK44" s="1" t="n"/>
      <c r="GL44" s="1" t="n"/>
      <c r="GM44" s="1" t="n"/>
      <c r="GN44" s="1" t="n"/>
      <c r="GO44" s="1" t="n"/>
      <c r="GP44" s="1" t="n"/>
      <c r="GQ44" s="1" t="n"/>
      <c r="GR44" s="1" t="n"/>
      <c r="GS44" s="1" t="n"/>
      <c r="GT44" s="1" t="n"/>
      <c r="GU44" s="1" t="n"/>
      <c r="GV44" s="1" t="n"/>
      <c r="GW44" s="1" t="n"/>
      <c r="GX44" s="1" t="n"/>
      <c r="GY44" s="1" t="n"/>
      <c r="GZ44" s="1" t="n"/>
      <c r="HA44" s="1" t="n"/>
      <c r="HB44" s="1" t="n"/>
      <c r="HC44" s="1" t="n"/>
      <c r="HD44" s="1" t="n"/>
      <c r="HE44" s="1" t="n"/>
      <c r="HF44" s="1" t="n"/>
      <c r="HG44" s="1" t="n"/>
      <c r="HH44" s="1" t="n"/>
      <c r="HI44" s="1" t="n"/>
      <c r="HJ44" s="1" t="n"/>
      <c r="HK44" s="1" t="n"/>
      <c r="HL44" s="1" t="n"/>
      <c r="HM44" s="1" t="n"/>
      <c r="HN44" s="1" t="n"/>
      <c r="HO44" s="1" t="n"/>
      <c r="HP44" s="1" t="n"/>
      <c r="HQ44" s="1" t="n"/>
      <c r="HR44" s="1" t="n"/>
      <c r="HS44" s="1" t="n"/>
      <c r="HT44" s="1" t="n"/>
      <c r="HU44" s="1" t="n"/>
      <c r="HV44" s="1" t="n"/>
      <c r="HW44" s="1" t="n"/>
      <c r="HX44" s="1" t="n"/>
      <c r="HY44" s="1" t="n"/>
      <c r="HZ44" s="1" t="n"/>
      <c r="IA44" s="1" t="n"/>
      <c r="IB44" s="1" t="n"/>
      <c r="IC44" s="1" t="n"/>
      <c r="ID44" s="1" t="n"/>
      <c r="IE44" s="1" t="n"/>
      <c r="IF44" s="1" t="n"/>
      <c r="IG44" s="1" t="n"/>
      <c r="IH44" s="1" t="n"/>
      <c r="II44" s="1" t="n"/>
      <c r="IJ44" s="1" t="n"/>
      <c r="IK44" s="1" t="n"/>
      <c r="IL44" s="1" t="n"/>
      <c r="IM44" s="1" t="n"/>
      <c r="IN44" s="1" t="n"/>
      <c r="IO44" s="1" t="n"/>
      <c r="IP44" s="1" t="n"/>
      <c r="IQ44" s="1" t="n"/>
      <c r="IR44" s="1" t="n"/>
      <c r="IS44" s="1" t="n"/>
      <c r="IT44" s="1" t="n"/>
      <c r="IU44" s="1" t="n"/>
      <c r="IV44" s="1" t="n"/>
      <c r="IW44" s="1" t="n"/>
    </row>
    <row r="45">
      <c r="A45" s="161" t="inlineStr">
        <is>
          <t>G. W.: 13.0 kg 28.66 lbs</t>
        </is>
      </c>
      <c r="C45" s="40" t="n"/>
      <c r="D45" s="156" t="n"/>
      <c r="E45" s="156" t="n"/>
      <c r="I45" s="65" t="n"/>
      <c r="L45" s="154" t="n"/>
    </row>
    <row r="46" ht="17" customHeight="1">
      <c r="A46" s="161" t="inlineStr">
        <is>
          <t>Dims (W DH): 415 x 403 x 305 m m</t>
        </is>
      </c>
      <c r="C46" s="40" t="n"/>
      <c r="D46" s="156" t="n"/>
      <c r="E46" s="156" t="n"/>
      <c r="I46" s="65" t="n"/>
      <c r="L46" s="154" t="n"/>
    </row>
    <row r="47" ht="17" customHeight="1">
      <c r="A47" s="162" t="inlineStr">
        <is>
          <t>(W DH): 16.3 x 15.9 x 12 inch es</t>
        </is>
      </c>
      <c r="C47" s="40" t="n"/>
      <c r="D47" s="156" t="n"/>
      <c r="E47" s="156" t="n"/>
      <c r="I47" s="65" t="n"/>
      <c r="L47" s="154" t="n"/>
    </row>
    <row r="48">
      <c r="A48" s="162" t="inlineStr">
        <is>
          <t>Made in Vietnam</t>
        </is>
      </c>
      <c r="C48" s="40" t="n"/>
      <c r="D48" s="156" t="n"/>
      <c r="E48" s="156" t="n"/>
      <c r="I48" s="65" t="n"/>
      <c r="L48" s="154" t="n"/>
    </row>
    <row r="49">
      <c r="A49" s="162" t="inlineStr">
        <is>
          <t>*** GOODS ROHS COMPLIANT***</t>
        </is>
      </c>
      <c r="C49" s="40" t="n"/>
      <c r="D49" s="156" t="n"/>
      <c r="E49" s="156" t="n"/>
      <c r="G49" s="163" t="n"/>
      <c r="I49" s="160" t="n"/>
      <c r="L49" s="154" t="n"/>
    </row>
    <row r="50">
      <c r="A50" s="45" t="n"/>
      <c r="B50" s="44" t="n"/>
      <c r="C50" s="45" t="n"/>
      <c r="D50" s="164" t="n"/>
      <c r="E50" s="164" t="n"/>
      <c r="F50" s="47" t="n"/>
      <c r="G50" s="47" t="n"/>
      <c r="H50" s="43" t="n"/>
      <c r="I50" s="43" t="n"/>
      <c r="J50" s="48" t="n"/>
      <c r="K50" s="43" t="n"/>
      <c r="L50" s="165" t="n"/>
      <c r="N50" s="1" t="n"/>
      <c r="O50" s="40" t="n"/>
      <c r="P50" s="156" t="n"/>
      <c r="Q50" s="35" t="n"/>
      <c r="R50" s="1" t="n"/>
      <c r="S50" s="1" t="n"/>
      <c r="U50" s="153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  <c r="AQ50" s="1" t="n"/>
      <c r="AR50" s="1" t="n"/>
      <c r="AS50" s="1" t="n"/>
      <c r="AT50" s="1" t="n"/>
      <c r="AU50" s="1" t="n"/>
      <c r="AV50" s="1" t="n"/>
      <c r="AW50" s="1" t="n"/>
      <c r="AX50" s="1" t="n"/>
      <c r="AY50" s="1" t="n"/>
      <c r="AZ50" s="1" t="n"/>
      <c r="BA50" s="1" t="n"/>
      <c r="BB50" s="1" t="n"/>
      <c r="BC50" s="1" t="n"/>
      <c r="BD50" s="1" t="n"/>
      <c r="BE50" s="1" t="n"/>
      <c r="BF50" s="1" t="n"/>
      <c r="BG50" s="1" t="n"/>
      <c r="BH50" s="1" t="n"/>
      <c r="BI50" s="1" t="n"/>
      <c r="BJ50" s="1" t="n"/>
      <c r="BK50" s="1" t="n"/>
      <c r="BL50" s="1" t="n"/>
      <c r="BM50" s="1" t="n"/>
      <c r="BN50" s="1" t="n"/>
      <c r="BO50" s="1" t="n"/>
      <c r="BP50" s="1" t="n"/>
      <c r="BQ50" s="1" t="n"/>
      <c r="BR50" s="1" t="n"/>
      <c r="BS50" s="1" t="n"/>
      <c r="BT50" s="1" t="n"/>
      <c r="BU50" s="1" t="n"/>
      <c r="BV50" s="1" t="n"/>
      <c r="BW50" s="1" t="n"/>
      <c r="BX50" s="1" t="n"/>
      <c r="BY50" s="1" t="n"/>
      <c r="BZ50" s="1" t="n"/>
      <c r="CA50" s="1" t="n"/>
      <c r="CB50" s="1" t="n"/>
      <c r="CC50" s="1" t="n"/>
      <c r="CD50" s="1" t="n"/>
      <c r="CE50" s="1" t="n"/>
      <c r="CF50" s="1" t="n"/>
      <c r="CG50" s="1" t="n"/>
      <c r="CH50" s="1" t="n"/>
      <c r="CI50" s="1" t="n"/>
      <c r="CJ50" s="1" t="n"/>
      <c r="CK50" s="1" t="n"/>
      <c r="CL50" s="1" t="n"/>
      <c r="CM50" s="1" t="n"/>
      <c r="CN50" s="1" t="n"/>
      <c r="CO50" s="1" t="n"/>
      <c r="CP50" s="1" t="n"/>
      <c r="CQ50" s="1" t="n"/>
      <c r="CR50" s="1" t="n"/>
      <c r="CS50" s="1" t="n"/>
      <c r="CT50" s="1" t="n"/>
      <c r="CU50" s="1" t="n"/>
      <c r="CV50" s="1" t="n"/>
      <c r="CW50" s="1" t="n"/>
      <c r="CX50" s="1" t="n"/>
      <c r="CY50" s="1" t="n"/>
      <c r="CZ50" s="1" t="n"/>
      <c r="DA50" s="1" t="n"/>
      <c r="DB50" s="1" t="n"/>
      <c r="DC50" s="1" t="n"/>
      <c r="DD50" s="1" t="n"/>
      <c r="DE50" s="1" t="n"/>
      <c r="DF50" s="1" t="n"/>
      <c r="DG50" s="1" t="n"/>
      <c r="DH50" s="1" t="n"/>
      <c r="DI50" s="1" t="n"/>
      <c r="DJ50" s="1" t="n"/>
      <c r="DK50" s="1" t="n"/>
      <c r="DL50" s="1" t="n"/>
      <c r="DM50" s="1" t="n"/>
      <c r="DN50" s="1" t="n"/>
      <c r="DO50" s="1" t="n"/>
      <c r="DP50" s="1" t="n"/>
      <c r="DQ50" s="1" t="n"/>
      <c r="DR50" s="1" t="n"/>
      <c r="DS50" s="1" t="n"/>
      <c r="DT50" s="1" t="n"/>
      <c r="DU50" s="1" t="n"/>
      <c r="DV50" s="1" t="n"/>
      <c r="DW50" s="1" t="n"/>
      <c r="DX50" s="1" t="n"/>
      <c r="DY50" s="1" t="n"/>
      <c r="DZ50" s="1" t="n"/>
      <c r="EA50" s="1" t="n"/>
      <c r="EB50" s="1" t="n"/>
      <c r="EC50" s="1" t="n"/>
      <c r="ED50" s="1" t="n"/>
      <c r="EE50" s="1" t="n"/>
      <c r="EF50" s="1" t="n"/>
      <c r="EG50" s="1" t="n"/>
      <c r="EH50" s="1" t="n"/>
      <c r="EI50" s="1" t="n"/>
      <c r="EJ50" s="1" t="n"/>
      <c r="EK50" s="1" t="n"/>
      <c r="EL50" s="1" t="n"/>
      <c r="EM50" s="1" t="n"/>
      <c r="EN50" s="1" t="n"/>
      <c r="EO50" s="1" t="n"/>
      <c r="EP50" s="1" t="n"/>
      <c r="EQ50" s="1" t="n"/>
      <c r="ER50" s="1" t="n"/>
      <c r="ES50" s="1" t="n"/>
      <c r="ET50" s="1" t="n"/>
      <c r="EU50" s="1" t="n"/>
      <c r="EV50" s="1" t="n"/>
      <c r="EW50" s="1" t="n"/>
      <c r="EX50" s="1" t="n"/>
      <c r="EY50" s="1" t="n"/>
      <c r="EZ50" s="1" t="n"/>
      <c r="FA50" s="1" t="n"/>
      <c r="FB50" s="1" t="n"/>
      <c r="FC50" s="1" t="n"/>
      <c r="FD50" s="1" t="n"/>
      <c r="FE50" s="1" t="n"/>
      <c r="FF50" s="1" t="n"/>
      <c r="FG50" s="1" t="n"/>
      <c r="FH50" s="1" t="n"/>
      <c r="FI50" s="1" t="n"/>
      <c r="FJ50" s="1" t="n"/>
      <c r="FK50" s="1" t="n"/>
      <c r="FL50" s="1" t="n"/>
      <c r="FM50" s="1" t="n"/>
      <c r="FN50" s="1" t="n"/>
      <c r="FO50" s="1" t="n"/>
      <c r="FP50" s="1" t="n"/>
      <c r="FQ50" s="1" t="n"/>
      <c r="FR50" s="1" t="n"/>
      <c r="FS50" s="1" t="n"/>
      <c r="FT50" s="1" t="n"/>
      <c r="FU50" s="1" t="n"/>
      <c r="FV50" s="1" t="n"/>
      <c r="FW50" s="1" t="n"/>
      <c r="FX50" s="1" t="n"/>
      <c r="FY50" s="1" t="n"/>
      <c r="FZ50" s="1" t="n"/>
      <c r="GA50" s="1" t="n"/>
      <c r="GB50" s="1" t="n"/>
      <c r="GC50" s="1" t="n"/>
      <c r="GD50" s="1" t="n"/>
      <c r="GE50" s="1" t="n"/>
      <c r="GF50" s="1" t="n"/>
      <c r="GG50" s="1" t="n"/>
      <c r="GH50" s="1" t="n"/>
      <c r="GI50" s="1" t="n"/>
      <c r="GJ50" s="1" t="n"/>
      <c r="GK50" s="1" t="n"/>
      <c r="GL50" s="1" t="n"/>
      <c r="GM50" s="1" t="n"/>
      <c r="GN50" s="1" t="n"/>
      <c r="GO50" s="1" t="n"/>
      <c r="GP50" s="1" t="n"/>
      <c r="GQ50" s="1" t="n"/>
      <c r="GR50" s="1" t="n"/>
      <c r="GS50" s="1" t="n"/>
      <c r="GT50" s="1" t="n"/>
      <c r="GU50" s="1" t="n"/>
      <c r="GV50" s="1" t="n"/>
      <c r="GW50" s="1" t="n"/>
      <c r="GX50" s="1" t="n"/>
      <c r="GY50" s="1" t="n"/>
      <c r="GZ50" s="1" t="n"/>
      <c r="HA50" s="1" t="n"/>
      <c r="HB50" s="1" t="n"/>
      <c r="HC50" s="1" t="n"/>
      <c r="HD50" s="1" t="n"/>
      <c r="HE50" s="1" t="n"/>
      <c r="HF50" s="1" t="n"/>
      <c r="HG50" s="1" t="n"/>
      <c r="HH50" s="1" t="n"/>
      <c r="HI50" s="1" t="n"/>
      <c r="HJ50" s="1" t="n"/>
      <c r="HK50" s="1" t="n"/>
      <c r="HL50" s="1" t="n"/>
      <c r="HM50" s="1" t="n"/>
      <c r="HN50" s="1" t="n"/>
      <c r="HO50" s="1" t="n"/>
      <c r="HP50" s="1" t="n"/>
      <c r="HQ50" s="1" t="n"/>
      <c r="HR50" s="1" t="n"/>
      <c r="HS50" s="1" t="n"/>
      <c r="HT50" s="1" t="n"/>
      <c r="HU50" s="1" t="n"/>
      <c r="HV50" s="1" t="n"/>
      <c r="HW50" s="1" t="n"/>
      <c r="HX50" s="1" t="n"/>
      <c r="HY50" s="1" t="n"/>
      <c r="HZ50" s="1" t="n"/>
      <c r="IA50" s="1" t="n"/>
      <c r="IB50" s="1" t="n"/>
      <c r="IC50" s="1" t="n"/>
      <c r="ID50" s="1" t="n"/>
      <c r="IE50" s="1" t="n"/>
      <c r="IF50" s="1" t="n"/>
      <c r="IG50" s="1" t="n"/>
      <c r="IH50" s="1" t="n"/>
      <c r="II50" s="1" t="n"/>
      <c r="IJ50" s="1" t="n"/>
      <c r="IK50" s="1" t="n"/>
      <c r="IL50" s="1" t="n"/>
      <c r="IM50" s="1" t="n"/>
      <c r="IN50" s="1" t="n"/>
      <c r="IO50" s="1" t="n"/>
      <c r="IP50" s="1" t="n"/>
      <c r="IQ50" s="1" t="n"/>
      <c r="IR50" s="1" t="n"/>
      <c r="IS50" s="1" t="n"/>
      <c r="IT50" s="1" t="n"/>
      <c r="IU50" s="1" t="n"/>
      <c r="IV50" s="1" t="n"/>
      <c r="IW50" s="1" t="n"/>
    </row>
    <row r="51">
      <c r="A51" s="155" t="inlineStr">
        <is>
          <t>Part Number: 0266MP2WD-SP1</t>
        </is>
      </c>
      <c r="B51" s="1" t="n"/>
      <c r="C51" s="1" t="n"/>
      <c r="D51" s="166" t="n"/>
      <c r="E51" s="166" t="n"/>
      <c r="F51" s="111" t="n"/>
      <c r="G51" s="1" t="n"/>
      <c r="H51" s="1" t="n"/>
      <c r="I51" s="1" t="n"/>
      <c r="J51" s="167" t="n"/>
      <c r="K51" s="168" t="n"/>
      <c r="L51" s="168" t="n"/>
      <c r="M51" s="163" t="n"/>
      <c r="N51" s="33" t="n"/>
      <c r="O51" s="33" t="n"/>
      <c r="P51" s="152" t="n"/>
      <c r="Q51" s="35" t="n"/>
      <c r="S51" s="1" t="n"/>
      <c r="T51" s="33" t="n"/>
      <c r="U51" s="153" t="n"/>
      <c r="V51" s="169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  <c r="AO51" s="1" t="n"/>
      <c r="AP51" s="1" t="n"/>
      <c r="AQ51" s="1" t="n"/>
      <c r="AR51" s="1" t="n"/>
      <c r="AS51" s="1" t="n"/>
      <c r="AT51" s="1" t="n"/>
      <c r="AU51" s="1" t="n"/>
      <c r="AV51" s="1" t="n"/>
      <c r="AW51" s="1" t="n"/>
      <c r="AX51" s="1" t="n"/>
      <c r="AY51" s="1" t="n"/>
      <c r="AZ51" s="1" t="n"/>
      <c r="BA51" s="1" t="n"/>
      <c r="BB51" s="1" t="n"/>
      <c r="BC51" s="1" t="n"/>
      <c r="BD51" s="1" t="n"/>
      <c r="BE51" s="1" t="n"/>
      <c r="BF51" s="1" t="n"/>
      <c r="BG51" s="1" t="n"/>
      <c r="BH51" s="1" t="n"/>
      <c r="BI51" s="1" t="n"/>
      <c r="BJ51" s="1" t="n"/>
      <c r="BK51" s="1" t="n"/>
      <c r="BL51" s="1" t="n"/>
      <c r="BM51" s="1" t="n"/>
      <c r="BN51" s="1" t="n"/>
      <c r="BO51" s="1" t="n"/>
      <c r="BP51" s="1" t="n"/>
      <c r="BQ51" s="1" t="n"/>
      <c r="BR51" s="1" t="n"/>
      <c r="BS51" s="1" t="n"/>
      <c r="BT51" s="1" t="n"/>
      <c r="BU51" s="1" t="n"/>
      <c r="BV51" s="1" t="n"/>
      <c r="BW51" s="1" t="n"/>
      <c r="BX51" s="1" t="n"/>
      <c r="BY51" s="1" t="n"/>
      <c r="BZ51" s="1" t="n"/>
      <c r="CA51" s="1" t="n"/>
      <c r="CB51" s="1" t="n"/>
      <c r="CC51" s="1" t="n"/>
      <c r="CD51" s="1" t="n"/>
      <c r="CE51" s="1" t="n"/>
      <c r="CF51" s="1" t="n"/>
      <c r="CG51" s="1" t="n"/>
      <c r="CH51" s="1" t="n"/>
      <c r="CI51" s="1" t="n"/>
      <c r="CJ51" s="1" t="n"/>
      <c r="CK51" s="1" t="n"/>
      <c r="CL51" s="1" t="n"/>
      <c r="CM51" s="1" t="n"/>
      <c r="CN51" s="1" t="n"/>
      <c r="CO51" s="1" t="n"/>
      <c r="CP51" s="1" t="n"/>
      <c r="CQ51" s="1" t="n"/>
      <c r="CR51" s="1" t="n"/>
      <c r="CS51" s="1" t="n"/>
      <c r="CT51" s="1" t="n"/>
      <c r="CU51" s="1" t="n"/>
      <c r="CV51" s="1" t="n"/>
      <c r="CW51" s="1" t="n"/>
      <c r="CX51" s="1" t="n"/>
      <c r="CY51" s="1" t="n"/>
      <c r="CZ51" s="1" t="n"/>
      <c r="DA51" s="1" t="n"/>
      <c r="DB51" s="1" t="n"/>
      <c r="DC51" s="1" t="n"/>
      <c r="DD51" s="1" t="n"/>
      <c r="DE51" s="1" t="n"/>
      <c r="DF51" s="1" t="n"/>
      <c r="DG51" s="1" t="n"/>
      <c r="DH51" s="1" t="n"/>
      <c r="DI51" s="1" t="n"/>
      <c r="DJ51" s="1" t="n"/>
      <c r="DK51" s="1" t="n"/>
      <c r="DL51" s="1" t="n"/>
      <c r="DM51" s="1" t="n"/>
      <c r="DN51" s="1" t="n"/>
      <c r="DO51" s="1" t="n"/>
      <c r="DP51" s="1" t="n"/>
      <c r="DQ51" s="1" t="n"/>
      <c r="DR51" s="1" t="n"/>
      <c r="DS51" s="1" t="n"/>
      <c r="DT51" s="1" t="n"/>
      <c r="DU51" s="1" t="n"/>
      <c r="DV51" s="1" t="n"/>
      <c r="DW51" s="1" t="n"/>
      <c r="DX51" s="1" t="n"/>
      <c r="DY51" s="1" t="n"/>
      <c r="DZ51" s="1" t="n"/>
      <c r="EA51" s="1" t="n"/>
      <c r="EB51" s="1" t="n"/>
      <c r="EC51" s="1" t="n"/>
      <c r="ED51" s="1" t="n"/>
      <c r="EE51" s="1" t="n"/>
      <c r="EF51" s="1" t="n"/>
      <c r="EG51" s="1" t="n"/>
      <c r="EH51" s="1" t="n"/>
      <c r="EI51" s="1" t="n"/>
      <c r="EJ51" s="1" t="n"/>
      <c r="EK51" s="1" t="n"/>
      <c r="EL51" s="1" t="n"/>
      <c r="EM51" s="1" t="n"/>
      <c r="EN51" s="1" t="n"/>
      <c r="EO51" s="1" t="n"/>
      <c r="EP51" s="1" t="n"/>
      <c r="EQ51" s="1" t="n"/>
      <c r="ER51" s="1" t="n"/>
      <c r="ES51" s="1" t="n"/>
      <c r="ET51" s="1" t="n"/>
      <c r="EU51" s="1" t="n"/>
      <c r="EV51" s="1" t="n"/>
      <c r="EW51" s="1" t="n"/>
      <c r="EX51" s="1" t="n"/>
      <c r="EY51" s="1" t="n"/>
      <c r="EZ51" s="1" t="n"/>
      <c r="FA51" s="1" t="n"/>
      <c r="FB51" s="1" t="n"/>
      <c r="FC51" s="1" t="n"/>
      <c r="FD51" s="1" t="n"/>
      <c r="FE51" s="1" t="n"/>
      <c r="FF51" s="1" t="n"/>
      <c r="FG51" s="1" t="n"/>
      <c r="FH51" s="1" t="n"/>
      <c r="FI51" s="1" t="n"/>
      <c r="FJ51" s="1" t="n"/>
      <c r="FK51" s="1" t="n"/>
      <c r="FL51" s="1" t="n"/>
      <c r="FM51" s="1" t="n"/>
      <c r="FN51" s="1" t="n"/>
      <c r="FO51" s="1" t="n"/>
      <c r="FP51" s="1" t="n"/>
      <c r="FQ51" s="1" t="n"/>
      <c r="FR51" s="1" t="n"/>
      <c r="FS51" s="1" t="n"/>
      <c r="FT51" s="1" t="n"/>
      <c r="FU51" s="1" t="n"/>
      <c r="FV51" s="1" t="n"/>
      <c r="FW51" s="1" t="n"/>
      <c r="FX51" s="1" t="n"/>
      <c r="FY51" s="1" t="n"/>
      <c r="FZ51" s="1" t="n"/>
      <c r="GA51" s="1" t="n"/>
      <c r="GB51" s="1" t="n"/>
      <c r="GC51" s="1" t="n"/>
      <c r="GD51" s="1" t="n"/>
      <c r="GE51" s="1" t="n"/>
      <c r="GF51" s="1" t="n"/>
      <c r="GG51" s="1" t="n"/>
      <c r="GH51" s="1" t="n"/>
      <c r="GI51" s="1" t="n"/>
      <c r="GJ51" s="1" t="n"/>
      <c r="GK51" s="1" t="n"/>
      <c r="GL51" s="1" t="n"/>
      <c r="GM51" s="1" t="n"/>
      <c r="GN51" s="1" t="n"/>
      <c r="GO51" s="1" t="n"/>
      <c r="GP51" s="1" t="n"/>
      <c r="GQ51" s="1" t="n"/>
      <c r="GR51" s="1" t="n"/>
      <c r="GS51" s="1" t="n"/>
      <c r="GT51" s="1" t="n"/>
      <c r="GU51" s="1" t="n"/>
      <c r="GV51" s="1" t="n"/>
      <c r="GW51" s="1" t="n"/>
      <c r="GX51" s="1" t="n"/>
      <c r="GY51" s="1" t="n"/>
      <c r="GZ51" s="1" t="n"/>
      <c r="HA51" s="1" t="n"/>
      <c r="HB51" s="1" t="n"/>
      <c r="HC51" s="1" t="n"/>
      <c r="HD51" s="1" t="n"/>
      <c r="HE51" s="1" t="n"/>
      <c r="HF51" s="1" t="n"/>
      <c r="HG51" s="1" t="n"/>
      <c r="HH51" s="1" t="n"/>
      <c r="HI51" s="1" t="n"/>
      <c r="HJ51" s="1" t="n"/>
      <c r="HK51" s="1" t="n"/>
      <c r="HL51" s="1" t="n"/>
      <c r="HM51" s="1" t="n"/>
      <c r="HN51" s="1" t="n"/>
      <c r="HO51" s="1" t="n"/>
      <c r="HP51" s="1" t="n"/>
      <c r="HQ51" s="1" t="n"/>
      <c r="HR51" s="1" t="n"/>
      <c r="HS51" s="1" t="n"/>
      <c r="HT51" s="1" t="n"/>
      <c r="HU51" s="1" t="n"/>
      <c r="HV51" s="1" t="n"/>
      <c r="HW51" s="1" t="n"/>
      <c r="HX51" s="1" t="n"/>
      <c r="HY51" s="1" t="n"/>
      <c r="HZ51" s="1" t="n"/>
      <c r="IA51" s="1" t="n"/>
      <c r="IB51" s="1" t="n"/>
      <c r="IC51" s="1" t="n"/>
      <c r="ID51" s="1" t="n"/>
      <c r="IE51" s="1" t="n"/>
      <c r="IF51" s="1" t="n"/>
      <c r="IG51" s="1" t="n"/>
      <c r="IH51" s="1" t="n"/>
      <c r="II51" s="1" t="n"/>
      <c r="IJ51" s="1" t="n"/>
      <c r="IK51" s="1" t="n"/>
      <c r="IL51" s="1" t="n"/>
      <c r="IM51" s="1" t="n"/>
      <c r="IN51" s="1" t="n"/>
      <c r="IO51" s="1" t="n"/>
      <c r="IP51" s="1" t="n"/>
      <c r="IQ51" s="1" t="n"/>
      <c r="IR51" s="1" t="n"/>
      <c r="IS51" s="1" t="n"/>
      <c r="IT51" s="1" t="n"/>
      <c r="IU51" s="1" t="n"/>
      <c r="IV51" s="1" t="n"/>
      <c r="IW51" s="1" t="n"/>
    </row>
    <row r="52">
      <c r="A52" s="155" t="inlineStr">
        <is>
          <t>PO#: 163103</t>
        </is>
      </c>
      <c r="B52" s="1" t="n"/>
      <c r="C52" s="1" t="n"/>
      <c r="D52" s="166" t="n"/>
      <c r="E52" s="166" t="n"/>
      <c r="F52" s="111" t="inlineStr">
        <is>
          <t>COMART CORPORATION</t>
        </is>
      </c>
      <c r="G52" s="1" t="n"/>
      <c r="H52" s="1" t="n"/>
      <c r="I52" s="1" t="n"/>
      <c r="J52" s="167" t="n"/>
      <c r="K52" s="168" t="n"/>
      <c r="L52" s="168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  <c r="AV52" s="1" t="n"/>
      <c r="AW52" s="1" t="n"/>
      <c r="AX52" s="1" t="n"/>
      <c r="AY52" s="1" t="n"/>
      <c r="AZ52" s="1" t="n"/>
      <c r="BA52" s="1" t="n"/>
      <c r="BB52" s="1" t="n"/>
      <c r="BC52" s="1" t="n"/>
      <c r="BD52" s="1" t="n"/>
      <c r="BE52" s="1" t="n"/>
      <c r="BF52" s="1" t="n"/>
      <c r="BG52" s="1" t="n"/>
      <c r="BH52" s="1" t="n"/>
      <c r="BI52" s="1" t="n"/>
      <c r="BJ52" s="1" t="n"/>
      <c r="BK52" s="1" t="n"/>
      <c r="BL52" s="1" t="n"/>
      <c r="BM52" s="1" t="n"/>
      <c r="BN52" s="1" t="n"/>
      <c r="BO52" s="1" t="n"/>
      <c r="BP52" s="1" t="n"/>
      <c r="BQ52" s="1" t="n"/>
      <c r="BR52" s="1" t="n"/>
      <c r="BS52" s="1" t="n"/>
      <c r="BT52" s="1" t="n"/>
      <c r="BU52" s="1" t="n"/>
      <c r="BV52" s="1" t="n"/>
      <c r="BW52" s="1" t="n"/>
      <c r="BX52" s="1" t="n"/>
      <c r="BY52" s="1" t="n"/>
      <c r="BZ52" s="1" t="n"/>
      <c r="CA52" s="1" t="n"/>
      <c r="CB52" s="1" t="n"/>
      <c r="CC52" s="1" t="n"/>
      <c r="CD52" s="1" t="n"/>
      <c r="CE52" s="1" t="n"/>
      <c r="CF52" s="1" t="n"/>
      <c r="CG52" s="1" t="n"/>
      <c r="CH52" s="1" t="n"/>
      <c r="CI52" s="1" t="n"/>
      <c r="CJ52" s="1" t="n"/>
      <c r="CK52" s="1" t="n"/>
      <c r="CL52" s="1" t="n"/>
      <c r="CM52" s="1" t="n"/>
      <c r="CN52" s="1" t="n"/>
      <c r="CO52" s="1" t="n"/>
      <c r="CP52" s="1" t="n"/>
      <c r="CQ52" s="1" t="n"/>
      <c r="CR52" s="1" t="n"/>
      <c r="CS52" s="1" t="n"/>
      <c r="CT52" s="1" t="n"/>
      <c r="CU52" s="1" t="n"/>
      <c r="CV52" s="1" t="n"/>
      <c r="CW52" s="1" t="n"/>
      <c r="CX52" s="1" t="n"/>
      <c r="CY52" s="1" t="n"/>
      <c r="CZ52" s="1" t="n"/>
      <c r="DA52" s="1" t="n"/>
      <c r="DB52" s="1" t="n"/>
      <c r="DC52" s="1" t="n"/>
      <c r="DD52" s="1" t="n"/>
      <c r="DE52" s="1" t="n"/>
      <c r="DF52" s="1" t="n"/>
      <c r="DG52" s="1" t="n"/>
      <c r="DH52" s="1" t="n"/>
      <c r="DI52" s="1" t="n"/>
      <c r="DJ52" s="1" t="n"/>
      <c r="DK52" s="1" t="n"/>
      <c r="DL52" s="1" t="n"/>
      <c r="DM52" s="1" t="n"/>
      <c r="DN52" s="1" t="n"/>
      <c r="DO52" s="1" t="n"/>
      <c r="DP52" s="1" t="n"/>
      <c r="DQ52" s="1" t="n"/>
      <c r="DR52" s="1" t="n"/>
      <c r="DS52" s="1" t="n"/>
      <c r="DT52" s="1" t="n"/>
      <c r="DU52" s="1" t="n"/>
      <c r="DV52" s="1" t="n"/>
      <c r="DW52" s="1" t="n"/>
      <c r="DX52" s="1" t="n"/>
      <c r="DY52" s="1" t="n"/>
      <c r="DZ52" s="1" t="n"/>
      <c r="EA52" s="1" t="n"/>
      <c r="EB52" s="1" t="n"/>
      <c r="EC52" s="1" t="n"/>
      <c r="ED52" s="1" t="n"/>
      <c r="EE52" s="1" t="n"/>
      <c r="EF52" s="1" t="n"/>
      <c r="EG52" s="1" t="n"/>
      <c r="EH52" s="1" t="n"/>
      <c r="EI52" s="1" t="n"/>
      <c r="EJ52" s="1" t="n"/>
      <c r="EK52" s="1" t="n"/>
      <c r="EL52" s="1" t="n"/>
      <c r="EM52" s="1" t="n"/>
      <c r="EN52" s="1" t="n"/>
      <c r="EO52" s="1" t="n"/>
      <c r="EP52" s="1" t="n"/>
      <c r="EQ52" s="1" t="n"/>
      <c r="ER52" s="1" t="n"/>
      <c r="ES52" s="1" t="n"/>
      <c r="ET52" s="1" t="n"/>
      <c r="EU52" s="1" t="n"/>
      <c r="EV52" s="1" t="n"/>
      <c r="EW52" s="1" t="n"/>
      <c r="EX52" s="1" t="n"/>
      <c r="EY52" s="1" t="n"/>
      <c r="EZ52" s="1" t="n"/>
      <c r="FA52" s="1" t="n"/>
      <c r="FB52" s="1" t="n"/>
      <c r="FC52" s="1" t="n"/>
      <c r="FD52" s="1" t="n"/>
      <c r="FE52" s="1" t="n"/>
      <c r="FF52" s="1" t="n"/>
      <c r="FG52" s="1" t="n"/>
      <c r="FH52" s="1" t="n"/>
      <c r="FI52" s="1" t="n"/>
      <c r="FJ52" s="1" t="n"/>
      <c r="FK52" s="1" t="n"/>
      <c r="FL52" s="1" t="n"/>
      <c r="FM52" s="1" t="n"/>
      <c r="FN52" s="1" t="n"/>
      <c r="FO52" s="1" t="n"/>
      <c r="FP52" s="1" t="n"/>
      <c r="FQ52" s="1" t="n"/>
      <c r="FR52" s="1" t="n"/>
      <c r="FS52" s="1" t="n"/>
      <c r="FT52" s="1" t="n"/>
      <c r="FU52" s="1" t="n"/>
      <c r="FV52" s="1" t="n"/>
      <c r="FW52" s="1" t="n"/>
      <c r="FX52" s="1" t="n"/>
      <c r="FY52" s="1" t="n"/>
      <c r="FZ52" s="1" t="n"/>
      <c r="GA52" s="1" t="n"/>
      <c r="GB52" s="1" t="n"/>
      <c r="GC52" s="1" t="n"/>
      <c r="GD52" s="1" t="n"/>
      <c r="GE52" s="1" t="n"/>
      <c r="GF52" s="1" t="n"/>
      <c r="GG52" s="1" t="n"/>
      <c r="GH52" s="1" t="n"/>
      <c r="GI52" s="1" t="n"/>
      <c r="GJ52" s="1" t="n"/>
      <c r="GK52" s="1" t="n"/>
      <c r="GL52" s="1" t="n"/>
      <c r="GM52" s="1" t="n"/>
      <c r="GN52" s="1" t="n"/>
      <c r="GO52" s="1" t="n"/>
      <c r="GP52" s="1" t="n"/>
      <c r="GQ52" s="1" t="n"/>
      <c r="GR52" s="1" t="n"/>
      <c r="GS52" s="1" t="n"/>
      <c r="GT52" s="1" t="n"/>
      <c r="GU52" s="1" t="n"/>
      <c r="GV52" s="1" t="n"/>
      <c r="GW52" s="1" t="n"/>
      <c r="GX52" s="1" t="n"/>
      <c r="GY52" s="1" t="n"/>
      <c r="GZ52" s="1" t="n"/>
      <c r="HA52" s="1" t="n"/>
      <c r="HB52" s="1" t="n"/>
      <c r="HC52" s="1" t="n"/>
      <c r="HD52" s="1" t="n"/>
      <c r="HE52" s="1" t="n"/>
      <c r="HF52" s="1" t="n"/>
      <c r="HG52" s="1" t="n"/>
      <c r="HH52" s="1" t="n"/>
      <c r="HI52" s="1" t="n"/>
      <c r="HJ52" s="1" t="n"/>
      <c r="HK52" s="1" t="n"/>
      <c r="HL52" s="1" t="n"/>
      <c r="HM52" s="1" t="n"/>
      <c r="HN52" s="1" t="n"/>
      <c r="HO52" s="1" t="n"/>
      <c r="HP52" s="1" t="n"/>
      <c r="HQ52" s="1" t="n"/>
      <c r="HR52" s="1" t="n"/>
      <c r="HS52" s="1" t="n"/>
      <c r="HT52" s="1" t="n"/>
      <c r="HU52" s="1" t="n"/>
      <c r="HV52" s="1" t="n"/>
      <c r="HW52" s="1" t="n"/>
      <c r="HX52" s="1" t="n"/>
      <c r="HY52" s="1" t="n"/>
      <c r="HZ52" s="1" t="n"/>
      <c r="IA52" s="1" t="n"/>
      <c r="IB52" s="1" t="n"/>
      <c r="IC52" s="1" t="n"/>
      <c r="ID52" s="1" t="n"/>
      <c r="IE52" s="1" t="n"/>
      <c r="IF52" s="1" t="n"/>
      <c r="IG52" s="1" t="n"/>
      <c r="IH52" s="1" t="n"/>
      <c r="II52" s="1" t="n"/>
      <c r="IJ52" s="1" t="n"/>
      <c r="IK52" s="1" t="n"/>
      <c r="IL52" s="1" t="n"/>
      <c r="IM52" s="1" t="n"/>
      <c r="IN52" s="1" t="n"/>
      <c r="IO52" s="1" t="n"/>
      <c r="IP52" s="1" t="n"/>
      <c r="IQ52" s="1" t="n"/>
      <c r="IR52" s="1" t="n"/>
      <c r="IS52" s="1" t="n"/>
      <c r="IT52" s="1" t="n"/>
      <c r="IU52" s="1" t="n"/>
      <c r="IV52" s="1" t="n"/>
      <c r="IW52" s="1" t="n"/>
    </row>
    <row r="53">
      <c r="A53" s="155" t="inlineStr">
        <is>
          <t>Date Code: 待確認</t>
        </is>
      </c>
      <c r="B53" s="1" t="n"/>
      <c r="C53" s="1" t="n"/>
      <c r="D53" s="166" t="n"/>
      <c r="E53" s="166" t="n"/>
      <c r="F53" s="111" t="inlineStr">
        <is>
          <t>EMILY HOU</t>
        </is>
      </c>
      <c r="G53" s="1" t="n"/>
      <c r="H53" s="1" t="n"/>
      <c r="I53" s="1" t="n"/>
      <c r="J53" s="167" t="n"/>
      <c r="K53" s="168" t="n"/>
      <c r="L53" s="168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  <c r="AQ53" s="1" t="n"/>
      <c r="AR53" s="1" t="n"/>
      <c r="AS53" s="1" t="n"/>
      <c r="AT53" s="1" t="n"/>
      <c r="AU53" s="1" t="n"/>
      <c r="AV53" s="1" t="n"/>
      <c r="AW53" s="1" t="n"/>
      <c r="AX53" s="1" t="n"/>
      <c r="AY53" s="1" t="n"/>
      <c r="AZ53" s="1" t="n"/>
      <c r="BA53" s="1" t="n"/>
      <c r="BB53" s="1" t="n"/>
      <c r="BC53" s="1" t="n"/>
      <c r="BD53" s="1" t="n"/>
      <c r="BE53" s="1" t="n"/>
      <c r="BF53" s="1" t="n"/>
      <c r="BG53" s="1" t="n"/>
      <c r="BH53" s="1" t="n"/>
      <c r="BI53" s="1" t="n"/>
      <c r="BJ53" s="1" t="n"/>
      <c r="BK53" s="1" t="n"/>
      <c r="BL53" s="1" t="n"/>
      <c r="BM53" s="1" t="n"/>
      <c r="BN53" s="1" t="n"/>
      <c r="BO53" s="1" t="n"/>
      <c r="BP53" s="1" t="n"/>
      <c r="BQ53" s="1" t="n"/>
      <c r="BR53" s="1" t="n"/>
      <c r="BS53" s="1" t="n"/>
      <c r="BT53" s="1" t="n"/>
      <c r="BU53" s="1" t="n"/>
      <c r="BV53" s="1" t="n"/>
      <c r="BW53" s="1" t="n"/>
      <c r="BX53" s="1" t="n"/>
      <c r="BY53" s="1" t="n"/>
      <c r="BZ53" s="1" t="n"/>
      <c r="CA53" s="1" t="n"/>
      <c r="CB53" s="1" t="n"/>
      <c r="CC53" s="1" t="n"/>
      <c r="CD53" s="1" t="n"/>
      <c r="CE53" s="1" t="n"/>
      <c r="CF53" s="1" t="n"/>
      <c r="CG53" s="1" t="n"/>
      <c r="CH53" s="1" t="n"/>
      <c r="CI53" s="1" t="n"/>
      <c r="CJ53" s="1" t="n"/>
      <c r="CK53" s="1" t="n"/>
      <c r="CL53" s="1" t="n"/>
      <c r="CM53" s="1" t="n"/>
      <c r="CN53" s="1" t="n"/>
      <c r="CO53" s="1" t="n"/>
      <c r="CP53" s="1" t="n"/>
      <c r="CQ53" s="1" t="n"/>
      <c r="CR53" s="1" t="n"/>
      <c r="CS53" s="1" t="n"/>
      <c r="CT53" s="1" t="n"/>
      <c r="CU53" s="1" t="n"/>
      <c r="CV53" s="1" t="n"/>
      <c r="CW53" s="1" t="n"/>
      <c r="CX53" s="1" t="n"/>
      <c r="CY53" s="1" t="n"/>
      <c r="CZ53" s="1" t="n"/>
      <c r="DA53" s="1" t="n"/>
      <c r="DB53" s="1" t="n"/>
      <c r="DC53" s="1" t="n"/>
      <c r="DD53" s="1" t="n"/>
      <c r="DE53" s="1" t="n"/>
      <c r="DF53" s="1" t="n"/>
      <c r="DG53" s="1" t="n"/>
      <c r="DH53" s="1" t="n"/>
      <c r="DI53" s="1" t="n"/>
      <c r="DJ53" s="1" t="n"/>
      <c r="DK53" s="1" t="n"/>
      <c r="DL53" s="1" t="n"/>
      <c r="DM53" s="1" t="n"/>
      <c r="DN53" s="1" t="n"/>
      <c r="DO53" s="1" t="n"/>
      <c r="DP53" s="1" t="n"/>
      <c r="DQ53" s="1" t="n"/>
      <c r="DR53" s="1" t="n"/>
      <c r="DS53" s="1" t="n"/>
      <c r="DT53" s="1" t="n"/>
      <c r="DU53" s="1" t="n"/>
      <c r="DV53" s="1" t="n"/>
      <c r="DW53" s="1" t="n"/>
      <c r="DX53" s="1" t="n"/>
      <c r="DY53" s="1" t="n"/>
      <c r="DZ53" s="1" t="n"/>
      <c r="EA53" s="1" t="n"/>
      <c r="EB53" s="1" t="n"/>
      <c r="EC53" s="1" t="n"/>
      <c r="ED53" s="1" t="n"/>
      <c r="EE53" s="1" t="n"/>
      <c r="EF53" s="1" t="n"/>
      <c r="EG53" s="1" t="n"/>
      <c r="EH53" s="1" t="n"/>
      <c r="EI53" s="1" t="n"/>
      <c r="EJ53" s="1" t="n"/>
      <c r="EK53" s="1" t="n"/>
      <c r="EL53" s="1" t="n"/>
      <c r="EM53" s="1" t="n"/>
      <c r="EN53" s="1" t="n"/>
      <c r="EO53" s="1" t="n"/>
      <c r="EP53" s="1" t="n"/>
      <c r="EQ53" s="1" t="n"/>
      <c r="ER53" s="1" t="n"/>
      <c r="ES53" s="1" t="n"/>
      <c r="ET53" s="1" t="n"/>
      <c r="EU53" s="1" t="n"/>
      <c r="EV53" s="1" t="n"/>
      <c r="EW53" s="1" t="n"/>
      <c r="EX53" s="1" t="n"/>
      <c r="EY53" s="1" t="n"/>
      <c r="EZ53" s="1" t="n"/>
      <c r="FA53" s="1" t="n"/>
      <c r="FB53" s="1" t="n"/>
      <c r="FC53" s="1" t="n"/>
      <c r="FD53" s="1" t="n"/>
      <c r="FE53" s="1" t="n"/>
      <c r="FF53" s="1" t="n"/>
      <c r="FG53" s="1" t="n"/>
      <c r="FH53" s="1" t="n"/>
      <c r="FI53" s="1" t="n"/>
      <c r="FJ53" s="1" t="n"/>
      <c r="FK53" s="1" t="n"/>
      <c r="FL53" s="1" t="n"/>
      <c r="FM53" s="1" t="n"/>
      <c r="FN53" s="1" t="n"/>
      <c r="FO53" s="1" t="n"/>
      <c r="FP53" s="1" t="n"/>
      <c r="FQ53" s="1" t="n"/>
      <c r="FR53" s="1" t="n"/>
      <c r="FS53" s="1" t="n"/>
      <c r="FT53" s="1" t="n"/>
      <c r="FU53" s="1" t="n"/>
      <c r="FV53" s="1" t="n"/>
      <c r="FW53" s="1" t="n"/>
      <c r="FX53" s="1" t="n"/>
      <c r="FY53" s="1" t="n"/>
      <c r="FZ53" s="1" t="n"/>
      <c r="GA53" s="1" t="n"/>
      <c r="GB53" s="1" t="n"/>
      <c r="GC53" s="1" t="n"/>
      <c r="GD53" s="1" t="n"/>
      <c r="GE53" s="1" t="n"/>
      <c r="GF53" s="1" t="n"/>
      <c r="GG53" s="1" t="n"/>
      <c r="GH53" s="1" t="n"/>
      <c r="GI53" s="1" t="n"/>
      <c r="GJ53" s="1" t="n"/>
      <c r="GK53" s="1" t="n"/>
      <c r="GL53" s="1" t="n"/>
      <c r="GM53" s="1" t="n"/>
      <c r="GN53" s="1" t="n"/>
      <c r="GO53" s="1" t="n"/>
      <c r="GP53" s="1" t="n"/>
      <c r="GQ53" s="1" t="n"/>
      <c r="GR53" s="1" t="n"/>
      <c r="GS53" s="1" t="n"/>
      <c r="GT53" s="1" t="n"/>
      <c r="GU53" s="1" t="n"/>
      <c r="GV53" s="1" t="n"/>
      <c r="GW53" s="1" t="n"/>
      <c r="GX53" s="1" t="n"/>
      <c r="GY53" s="1" t="n"/>
      <c r="GZ53" s="1" t="n"/>
      <c r="HA53" s="1" t="n"/>
      <c r="HB53" s="1" t="n"/>
      <c r="HC53" s="1" t="n"/>
      <c r="HD53" s="1" t="n"/>
      <c r="HE53" s="1" t="n"/>
      <c r="HF53" s="1" t="n"/>
      <c r="HG53" s="1" t="n"/>
      <c r="HH53" s="1" t="n"/>
      <c r="HI53" s="1" t="n"/>
      <c r="HJ53" s="1" t="n"/>
      <c r="HK53" s="1" t="n"/>
      <c r="HL53" s="1" t="n"/>
      <c r="HM53" s="1" t="n"/>
      <c r="HN53" s="1" t="n"/>
      <c r="HO53" s="1" t="n"/>
      <c r="HP53" s="1" t="n"/>
      <c r="HQ53" s="1" t="n"/>
      <c r="HR53" s="1" t="n"/>
      <c r="HS53" s="1" t="n"/>
      <c r="HT53" s="1" t="n"/>
      <c r="HU53" s="1" t="n"/>
      <c r="HV53" s="1" t="n"/>
      <c r="HW53" s="1" t="n"/>
      <c r="HX53" s="1" t="n"/>
      <c r="HY53" s="1" t="n"/>
      <c r="HZ53" s="1" t="n"/>
      <c r="IA53" s="1" t="n"/>
      <c r="IB53" s="1" t="n"/>
      <c r="IC53" s="1" t="n"/>
      <c r="ID53" s="1" t="n"/>
      <c r="IE53" s="1" t="n"/>
      <c r="IF53" s="1" t="n"/>
      <c r="IG53" s="1" t="n"/>
      <c r="IH53" s="1" t="n"/>
      <c r="II53" s="1" t="n"/>
      <c r="IJ53" s="1" t="n"/>
      <c r="IK53" s="1" t="n"/>
      <c r="IL53" s="1" t="n"/>
      <c r="IM53" s="1" t="n"/>
      <c r="IN53" s="1" t="n"/>
      <c r="IO53" s="1" t="n"/>
      <c r="IP53" s="1" t="n"/>
      <c r="IQ53" s="1" t="n"/>
      <c r="IR53" s="1" t="n"/>
      <c r="IS53" s="1" t="n"/>
      <c r="IT53" s="1" t="n"/>
      <c r="IU53" s="1" t="n"/>
      <c r="IV53" s="1" t="n"/>
      <c r="IW53" s="1" t="n"/>
    </row>
    <row r="54">
      <c r="A54" s="155" t="inlineStr">
        <is>
          <t>C/N: of 88</t>
        </is>
      </c>
      <c r="B54" s="31" t="n"/>
      <c r="C54" s="31" t="n"/>
      <c r="D54" s="170" t="n"/>
      <c r="E54" s="170" t="n"/>
      <c r="F54" s="54" t="n"/>
      <c r="G54" s="31" t="n"/>
      <c r="H54" s="31" t="n"/>
      <c r="I54" s="31" t="n"/>
      <c r="J54" s="31" t="n"/>
      <c r="K54" s="31" t="n"/>
      <c r="L54" s="3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  <c r="AP54" s="1" t="n"/>
      <c r="AQ54" s="1" t="n"/>
      <c r="AR54" s="1" t="n"/>
      <c r="AS54" s="1" t="n"/>
      <c r="AT54" s="1" t="n"/>
      <c r="AU54" s="1" t="n"/>
      <c r="AV54" s="1" t="n"/>
      <c r="AW54" s="1" t="n"/>
      <c r="AX54" s="1" t="n"/>
      <c r="AY54" s="1" t="n"/>
      <c r="AZ54" s="1" t="n"/>
      <c r="BA54" s="1" t="n"/>
      <c r="BB54" s="1" t="n"/>
      <c r="BC54" s="1" t="n"/>
      <c r="BD54" s="1" t="n"/>
      <c r="BE54" s="1" t="n"/>
      <c r="BF54" s="1" t="n"/>
      <c r="BG54" s="1" t="n"/>
      <c r="BH54" s="1" t="n"/>
      <c r="BI54" s="1" t="n"/>
      <c r="BJ54" s="1" t="n"/>
      <c r="BK54" s="1" t="n"/>
      <c r="BL54" s="1" t="n"/>
      <c r="BM54" s="1" t="n"/>
      <c r="BN54" s="1" t="n"/>
      <c r="BO54" s="1" t="n"/>
      <c r="BP54" s="1" t="n"/>
      <c r="BQ54" s="1" t="n"/>
      <c r="BR54" s="1" t="n"/>
      <c r="BS54" s="1" t="n"/>
      <c r="BT54" s="1" t="n"/>
      <c r="BU54" s="1" t="n"/>
      <c r="BV54" s="1" t="n"/>
      <c r="BW54" s="1" t="n"/>
      <c r="BX54" s="1" t="n"/>
      <c r="BY54" s="1" t="n"/>
      <c r="BZ54" s="1" t="n"/>
      <c r="CA54" s="1" t="n"/>
      <c r="CB54" s="1" t="n"/>
      <c r="CC54" s="1" t="n"/>
      <c r="CD54" s="1" t="n"/>
      <c r="CE54" s="1" t="n"/>
      <c r="CF54" s="1" t="n"/>
      <c r="CG54" s="1" t="n"/>
      <c r="CH54" s="1" t="n"/>
      <c r="CI54" s="1" t="n"/>
      <c r="CJ54" s="1" t="n"/>
      <c r="CK54" s="1" t="n"/>
      <c r="CL54" s="1" t="n"/>
      <c r="CM54" s="1" t="n"/>
      <c r="CN54" s="1" t="n"/>
      <c r="CO54" s="1" t="n"/>
      <c r="CP54" s="1" t="n"/>
      <c r="CQ54" s="1" t="n"/>
      <c r="CR54" s="1" t="n"/>
      <c r="CS54" s="1" t="n"/>
      <c r="CT54" s="1" t="n"/>
      <c r="CU54" s="1" t="n"/>
      <c r="CV54" s="1" t="n"/>
      <c r="CW54" s="1" t="n"/>
      <c r="CX54" s="1" t="n"/>
      <c r="CY54" s="1" t="n"/>
      <c r="CZ54" s="1" t="n"/>
      <c r="DA54" s="1" t="n"/>
      <c r="DB54" s="1" t="n"/>
      <c r="DC54" s="1" t="n"/>
      <c r="DD54" s="1" t="n"/>
      <c r="DE54" s="1" t="n"/>
      <c r="DF54" s="1" t="n"/>
      <c r="DG54" s="1" t="n"/>
      <c r="DH54" s="1" t="n"/>
      <c r="DI54" s="1" t="n"/>
      <c r="DJ54" s="1" t="n"/>
      <c r="DK54" s="1" t="n"/>
      <c r="DL54" s="1" t="n"/>
      <c r="DM54" s="1" t="n"/>
      <c r="DN54" s="1" t="n"/>
      <c r="DO54" s="1" t="n"/>
      <c r="DP54" s="1" t="n"/>
      <c r="DQ54" s="1" t="n"/>
      <c r="DR54" s="1" t="n"/>
      <c r="DS54" s="1" t="n"/>
      <c r="DT54" s="1" t="n"/>
      <c r="DU54" s="1" t="n"/>
      <c r="DV54" s="1" t="n"/>
      <c r="DW54" s="1" t="n"/>
      <c r="DX54" s="1" t="n"/>
      <c r="DY54" s="1" t="n"/>
      <c r="DZ54" s="1" t="n"/>
      <c r="EA54" s="1" t="n"/>
      <c r="EB54" s="1" t="n"/>
      <c r="EC54" s="1" t="n"/>
      <c r="ED54" s="1" t="n"/>
      <c r="EE54" s="1" t="n"/>
      <c r="EF54" s="1" t="n"/>
      <c r="EG54" s="1" t="n"/>
      <c r="EH54" s="1" t="n"/>
      <c r="EI54" s="1" t="n"/>
      <c r="EJ54" s="1" t="n"/>
      <c r="EK54" s="1" t="n"/>
      <c r="EL54" s="1" t="n"/>
      <c r="EM54" s="1" t="n"/>
      <c r="EN54" s="1" t="n"/>
      <c r="EO54" s="1" t="n"/>
      <c r="EP54" s="1" t="n"/>
      <c r="EQ54" s="1" t="n"/>
      <c r="ER54" s="1" t="n"/>
      <c r="ES54" s="1" t="n"/>
      <c r="ET54" s="1" t="n"/>
      <c r="EU54" s="1" t="n"/>
      <c r="EV54" s="1" t="n"/>
      <c r="EW54" s="1" t="n"/>
      <c r="EX54" s="1" t="n"/>
      <c r="EY54" s="1" t="n"/>
      <c r="EZ54" s="1" t="n"/>
      <c r="FA54" s="1" t="n"/>
      <c r="FB54" s="1" t="n"/>
      <c r="FC54" s="1" t="n"/>
      <c r="FD54" s="1" t="n"/>
      <c r="FE54" s="1" t="n"/>
      <c r="FF54" s="1" t="n"/>
      <c r="FG54" s="1" t="n"/>
      <c r="FH54" s="1" t="n"/>
      <c r="FI54" s="1" t="n"/>
      <c r="FJ54" s="1" t="n"/>
      <c r="FK54" s="1" t="n"/>
      <c r="FL54" s="1" t="n"/>
      <c r="FM54" s="1" t="n"/>
      <c r="FN54" s="1" t="n"/>
      <c r="FO54" s="1" t="n"/>
      <c r="FP54" s="1" t="n"/>
      <c r="FQ54" s="1" t="n"/>
      <c r="FR54" s="1" t="n"/>
      <c r="FS54" s="1" t="n"/>
      <c r="FT54" s="1" t="n"/>
      <c r="FU54" s="1" t="n"/>
      <c r="FV54" s="1" t="n"/>
      <c r="FW54" s="1" t="n"/>
      <c r="FX54" s="1" t="n"/>
      <c r="FY54" s="1" t="n"/>
      <c r="FZ54" s="1" t="n"/>
      <c r="GA54" s="1" t="n"/>
      <c r="GB54" s="1" t="n"/>
      <c r="GC54" s="1" t="n"/>
      <c r="GD54" s="1" t="n"/>
      <c r="GE54" s="1" t="n"/>
      <c r="GF54" s="1" t="n"/>
      <c r="GG54" s="1" t="n"/>
      <c r="GH54" s="1" t="n"/>
      <c r="GI54" s="1" t="n"/>
      <c r="GJ54" s="1" t="n"/>
      <c r="GK54" s="1" t="n"/>
      <c r="GL54" s="1" t="n"/>
      <c r="GM54" s="1" t="n"/>
      <c r="GN54" s="1" t="n"/>
      <c r="GO54" s="1" t="n"/>
      <c r="GP54" s="1" t="n"/>
      <c r="GQ54" s="1" t="n"/>
      <c r="GR54" s="1" t="n"/>
      <c r="GS54" s="1" t="n"/>
      <c r="GT54" s="1" t="n"/>
      <c r="GU54" s="1" t="n"/>
      <c r="GV54" s="1" t="n"/>
      <c r="GW54" s="1" t="n"/>
      <c r="GX54" s="1" t="n"/>
      <c r="GY54" s="1" t="n"/>
      <c r="GZ54" s="1" t="n"/>
      <c r="HA54" s="1" t="n"/>
      <c r="HB54" s="1" t="n"/>
      <c r="HC54" s="1" t="n"/>
      <c r="HD54" s="1" t="n"/>
      <c r="HE54" s="1" t="n"/>
      <c r="HF54" s="1" t="n"/>
      <c r="HG54" s="1" t="n"/>
      <c r="HH54" s="1" t="n"/>
      <c r="HI54" s="1" t="n"/>
      <c r="HJ54" s="1" t="n"/>
      <c r="HK54" s="1" t="n"/>
      <c r="HL54" s="1" t="n"/>
      <c r="HM54" s="1" t="n"/>
      <c r="HN54" s="1" t="n"/>
      <c r="HO54" s="1" t="n"/>
      <c r="HP54" s="1" t="n"/>
      <c r="HQ54" s="1" t="n"/>
      <c r="HR54" s="1" t="n"/>
      <c r="HS54" s="1" t="n"/>
      <c r="HT54" s="1" t="n"/>
      <c r="HU54" s="1" t="n"/>
      <c r="HV54" s="1" t="n"/>
      <c r="HW54" s="1" t="n"/>
      <c r="HX54" s="1" t="n"/>
      <c r="HY54" s="1" t="n"/>
      <c r="HZ54" s="1" t="n"/>
      <c r="IA54" s="1" t="n"/>
      <c r="IB54" s="1" t="n"/>
      <c r="IC54" s="1" t="n"/>
      <c r="ID54" s="1" t="n"/>
      <c r="IE54" s="1" t="n"/>
      <c r="IF54" s="1" t="n"/>
      <c r="IG54" s="1" t="n"/>
      <c r="IH54" s="1" t="n"/>
      <c r="II54" s="1" t="n"/>
      <c r="IJ54" s="1" t="n"/>
      <c r="IK54" s="1" t="n"/>
      <c r="IL54" s="1" t="n"/>
      <c r="IM54" s="1" t="n"/>
      <c r="IN54" s="1" t="n"/>
      <c r="IO54" s="1" t="n"/>
      <c r="IP54" s="1" t="n"/>
      <c r="IQ54" s="1" t="n"/>
      <c r="IR54" s="1" t="n"/>
      <c r="IS54" s="1" t="n"/>
      <c r="IT54" s="1" t="n"/>
      <c r="IU54" s="1" t="n"/>
      <c r="IV54" s="1" t="n"/>
      <c r="IW54" s="1" t="n"/>
    </row>
    <row r="55">
      <c r="A55" s="155" t="inlineStr">
        <is>
          <t>Qty: 40 pcs</t>
        </is>
      </c>
      <c r="B55" s="31" t="n"/>
      <c r="C55" s="31" t="n"/>
      <c r="D55" s="170" t="n"/>
      <c r="E55" s="170" t="n"/>
      <c r="F55" s="54" t="n"/>
      <c r="G55" s="31" t="n"/>
      <c r="H55" s="31" t="n"/>
      <c r="I55" s="31" t="n"/>
      <c r="J55" s="31" t="n"/>
      <c r="K55" s="31" t="n"/>
      <c r="L55" s="3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  <c r="AQ55" s="1" t="n"/>
      <c r="AR55" s="1" t="n"/>
      <c r="AS55" s="1" t="n"/>
      <c r="AT55" s="1" t="n"/>
      <c r="AU55" s="1" t="n"/>
      <c r="AV55" s="1" t="n"/>
      <c r="AW55" s="1" t="n"/>
      <c r="AX55" s="1" t="n"/>
      <c r="AY55" s="1" t="n"/>
      <c r="AZ55" s="1" t="n"/>
      <c r="BA55" s="1" t="n"/>
      <c r="BB55" s="1" t="n"/>
      <c r="BC55" s="1" t="n"/>
      <c r="BD55" s="1" t="n"/>
      <c r="BE55" s="1" t="n"/>
      <c r="BF55" s="1" t="n"/>
      <c r="BG55" s="1" t="n"/>
      <c r="BH55" s="1" t="n"/>
      <c r="BI55" s="1" t="n"/>
      <c r="BJ55" s="1" t="n"/>
      <c r="BK55" s="1" t="n"/>
      <c r="BL55" s="1" t="n"/>
      <c r="BM55" s="1" t="n"/>
      <c r="BN55" s="1" t="n"/>
      <c r="BO55" s="1" t="n"/>
      <c r="BP55" s="1" t="n"/>
      <c r="BQ55" s="1" t="n"/>
      <c r="BR55" s="1" t="n"/>
      <c r="BS55" s="1" t="n"/>
      <c r="BT55" s="1" t="n"/>
      <c r="BU55" s="1" t="n"/>
      <c r="BV55" s="1" t="n"/>
      <c r="BW55" s="1" t="n"/>
      <c r="BX55" s="1" t="n"/>
      <c r="BY55" s="1" t="n"/>
      <c r="BZ55" s="1" t="n"/>
      <c r="CA55" s="1" t="n"/>
      <c r="CB55" s="1" t="n"/>
      <c r="CC55" s="1" t="n"/>
      <c r="CD55" s="1" t="n"/>
      <c r="CE55" s="1" t="n"/>
      <c r="CF55" s="1" t="n"/>
      <c r="CG55" s="1" t="n"/>
      <c r="CH55" s="1" t="n"/>
      <c r="CI55" s="1" t="n"/>
      <c r="CJ55" s="1" t="n"/>
      <c r="CK55" s="1" t="n"/>
      <c r="CL55" s="1" t="n"/>
      <c r="CM55" s="1" t="n"/>
      <c r="CN55" s="1" t="n"/>
      <c r="CO55" s="1" t="n"/>
      <c r="CP55" s="1" t="n"/>
      <c r="CQ55" s="1" t="n"/>
      <c r="CR55" s="1" t="n"/>
      <c r="CS55" s="1" t="n"/>
      <c r="CT55" s="1" t="n"/>
      <c r="CU55" s="1" t="n"/>
      <c r="CV55" s="1" t="n"/>
      <c r="CW55" s="1" t="n"/>
      <c r="CX55" s="1" t="n"/>
      <c r="CY55" s="1" t="n"/>
      <c r="CZ55" s="1" t="n"/>
      <c r="DA55" s="1" t="n"/>
      <c r="DB55" s="1" t="n"/>
      <c r="DC55" s="1" t="n"/>
      <c r="DD55" s="1" t="n"/>
      <c r="DE55" s="1" t="n"/>
      <c r="DF55" s="1" t="n"/>
      <c r="DG55" s="1" t="n"/>
      <c r="DH55" s="1" t="n"/>
      <c r="DI55" s="1" t="n"/>
      <c r="DJ55" s="1" t="n"/>
      <c r="DK55" s="1" t="n"/>
      <c r="DL55" s="1" t="n"/>
      <c r="DM55" s="1" t="n"/>
      <c r="DN55" s="1" t="n"/>
      <c r="DO55" s="1" t="n"/>
      <c r="DP55" s="1" t="n"/>
      <c r="DQ55" s="1" t="n"/>
      <c r="DR55" s="1" t="n"/>
      <c r="DS55" s="1" t="n"/>
      <c r="DT55" s="1" t="n"/>
      <c r="DU55" s="1" t="n"/>
      <c r="DV55" s="1" t="n"/>
      <c r="DW55" s="1" t="n"/>
      <c r="DX55" s="1" t="n"/>
      <c r="DY55" s="1" t="n"/>
      <c r="DZ55" s="1" t="n"/>
      <c r="EA55" s="1" t="n"/>
      <c r="EB55" s="1" t="n"/>
      <c r="EC55" s="1" t="n"/>
      <c r="ED55" s="1" t="n"/>
      <c r="EE55" s="1" t="n"/>
      <c r="EF55" s="1" t="n"/>
      <c r="EG55" s="1" t="n"/>
      <c r="EH55" s="1" t="n"/>
      <c r="EI55" s="1" t="n"/>
      <c r="EJ55" s="1" t="n"/>
      <c r="EK55" s="1" t="n"/>
      <c r="EL55" s="1" t="n"/>
      <c r="EM55" s="1" t="n"/>
      <c r="EN55" s="1" t="n"/>
      <c r="EO55" s="1" t="n"/>
      <c r="EP55" s="1" t="n"/>
      <c r="EQ55" s="1" t="n"/>
      <c r="ER55" s="1" t="n"/>
      <c r="ES55" s="1" t="n"/>
      <c r="ET55" s="1" t="n"/>
      <c r="EU55" s="1" t="n"/>
      <c r="EV55" s="1" t="n"/>
      <c r="EW55" s="1" t="n"/>
      <c r="EX55" s="1" t="n"/>
      <c r="EY55" s="1" t="n"/>
      <c r="EZ55" s="1" t="n"/>
      <c r="FA55" s="1" t="n"/>
      <c r="FB55" s="1" t="n"/>
      <c r="FC55" s="1" t="n"/>
      <c r="FD55" s="1" t="n"/>
      <c r="FE55" s="1" t="n"/>
      <c r="FF55" s="1" t="n"/>
      <c r="FG55" s="1" t="n"/>
      <c r="FH55" s="1" t="n"/>
      <c r="FI55" s="1" t="n"/>
      <c r="FJ55" s="1" t="n"/>
      <c r="FK55" s="1" t="n"/>
      <c r="FL55" s="1" t="n"/>
      <c r="FM55" s="1" t="n"/>
      <c r="FN55" s="1" t="n"/>
      <c r="FO55" s="1" t="n"/>
      <c r="FP55" s="1" t="n"/>
      <c r="FQ55" s="1" t="n"/>
      <c r="FR55" s="1" t="n"/>
      <c r="FS55" s="1" t="n"/>
      <c r="FT55" s="1" t="n"/>
      <c r="FU55" s="1" t="n"/>
      <c r="FV55" s="1" t="n"/>
      <c r="FW55" s="1" t="n"/>
      <c r="FX55" s="1" t="n"/>
      <c r="FY55" s="1" t="n"/>
      <c r="FZ55" s="1" t="n"/>
      <c r="GA55" s="1" t="n"/>
      <c r="GB55" s="1" t="n"/>
      <c r="GC55" s="1" t="n"/>
      <c r="GD55" s="1" t="n"/>
      <c r="GE55" s="1" t="n"/>
      <c r="GF55" s="1" t="n"/>
      <c r="GG55" s="1" t="n"/>
      <c r="GH55" s="1" t="n"/>
      <c r="GI55" s="1" t="n"/>
      <c r="GJ55" s="1" t="n"/>
      <c r="GK55" s="1" t="n"/>
      <c r="GL55" s="1" t="n"/>
      <c r="GM55" s="1" t="n"/>
      <c r="GN55" s="1" t="n"/>
      <c r="GO55" s="1" t="n"/>
      <c r="GP55" s="1" t="n"/>
      <c r="GQ55" s="1" t="n"/>
      <c r="GR55" s="1" t="n"/>
      <c r="GS55" s="1" t="n"/>
      <c r="GT55" s="1" t="n"/>
      <c r="GU55" s="1" t="n"/>
      <c r="GV55" s="1" t="n"/>
      <c r="GW55" s="1" t="n"/>
      <c r="GX55" s="1" t="n"/>
      <c r="GY55" s="1" t="n"/>
      <c r="GZ55" s="1" t="n"/>
      <c r="HA55" s="1" t="n"/>
      <c r="HB55" s="1" t="n"/>
      <c r="HC55" s="1" t="n"/>
      <c r="HD55" s="1" t="n"/>
      <c r="HE55" s="1" t="n"/>
      <c r="HF55" s="1" t="n"/>
      <c r="HG55" s="1" t="n"/>
      <c r="HH55" s="1" t="n"/>
      <c r="HI55" s="1" t="n"/>
      <c r="HJ55" s="1" t="n"/>
      <c r="HK55" s="1" t="n"/>
      <c r="HL55" s="1" t="n"/>
      <c r="HM55" s="1" t="n"/>
      <c r="HN55" s="1" t="n"/>
      <c r="HO55" s="1" t="n"/>
      <c r="HP55" s="1" t="n"/>
      <c r="HQ55" s="1" t="n"/>
      <c r="HR55" s="1" t="n"/>
      <c r="HS55" s="1" t="n"/>
      <c r="HT55" s="1" t="n"/>
      <c r="HU55" s="1" t="n"/>
      <c r="HV55" s="1" t="n"/>
      <c r="HW55" s="1" t="n"/>
      <c r="HX55" s="1" t="n"/>
      <c r="HY55" s="1" t="n"/>
      <c r="HZ55" s="1" t="n"/>
      <c r="IA55" s="1" t="n"/>
      <c r="IB55" s="1" t="n"/>
      <c r="IC55" s="1" t="n"/>
      <c r="ID55" s="1" t="n"/>
      <c r="IE55" s="1" t="n"/>
      <c r="IF55" s="1" t="n"/>
      <c r="IG55" s="1" t="n"/>
      <c r="IH55" s="1" t="n"/>
      <c r="II55" s="1" t="n"/>
      <c r="IJ55" s="1" t="n"/>
      <c r="IK55" s="1" t="n"/>
      <c r="IL55" s="1" t="n"/>
      <c r="IM55" s="1" t="n"/>
      <c r="IN55" s="1" t="n"/>
      <c r="IO55" s="1" t="n"/>
      <c r="IP55" s="1" t="n"/>
      <c r="IQ55" s="1" t="n"/>
      <c r="IR55" s="1" t="n"/>
      <c r="IS55" s="1" t="n"/>
      <c r="IT55" s="1" t="n"/>
      <c r="IU55" s="1" t="n"/>
      <c r="IV55" s="1" t="n"/>
      <c r="IW55" s="1" t="n"/>
    </row>
    <row r="56">
      <c r="A56" s="155" t="inlineStr">
        <is>
          <t>N. W.: 4.7 kg 10.36 lbs</t>
        </is>
      </c>
      <c r="B56" s="1" t="n"/>
      <c r="C56" s="1" t="n"/>
      <c r="D56" s="166" t="n"/>
      <c r="E56" s="166" t="n"/>
      <c r="F56" s="111" t="n"/>
      <c r="G56" s="1" t="n"/>
      <c r="H56" s="1" t="n"/>
      <c r="I56" s="1" t="n"/>
      <c r="J56" s="1" t="n"/>
      <c r="K56" s="1" t="n"/>
      <c r="L56" s="167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  <c r="AP56" s="1" t="n"/>
      <c r="AQ56" s="1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" t="n"/>
      <c r="BD56" s="1" t="n"/>
      <c r="BE56" s="1" t="n"/>
      <c r="BF56" s="1" t="n"/>
      <c r="BG56" s="1" t="n"/>
      <c r="BH56" s="1" t="n"/>
      <c r="BI56" s="1" t="n"/>
      <c r="BJ56" s="1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" t="n"/>
      <c r="BW56" s="1" t="n"/>
      <c r="BX56" s="1" t="n"/>
      <c r="BY56" s="1" t="n"/>
      <c r="BZ56" s="1" t="n"/>
      <c r="CA56" s="1" t="n"/>
      <c r="CB56" s="1" t="n"/>
      <c r="CC56" s="1" t="n"/>
      <c r="CD56" s="1" t="n"/>
      <c r="CE56" s="1" t="n"/>
      <c r="CF56" s="1" t="n"/>
      <c r="CG56" s="1" t="n"/>
      <c r="CH56" s="1" t="n"/>
      <c r="CI56" s="1" t="n"/>
      <c r="CJ56" s="1" t="n"/>
      <c r="CK56" s="1" t="n"/>
      <c r="CL56" s="1" t="n"/>
      <c r="CM56" s="1" t="n"/>
      <c r="CN56" s="1" t="n"/>
      <c r="CO56" s="1" t="n"/>
      <c r="CP56" s="1" t="n"/>
      <c r="CQ56" s="1" t="n"/>
      <c r="CR56" s="1" t="n"/>
      <c r="CS56" s="1" t="n"/>
      <c r="CT56" s="1" t="n"/>
      <c r="CU56" s="1" t="n"/>
      <c r="CV56" s="1" t="n"/>
      <c r="CW56" s="1" t="n"/>
      <c r="CX56" s="1" t="n"/>
      <c r="CY56" s="1" t="n"/>
      <c r="CZ56" s="1" t="n"/>
      <c r="DA56" s="1" t="n"/>
      <c r="DB56" s="1" t="n"/>
      <c r="DC56" s="1" t="n"/>
      <c r="DD56" s="1" t="n"/>
      <c r="DE56" s="1" t="n"/>
      <c r="DF56" s="1" t="n"/>
      <c r="DG56" s="1" t="n"/>
      <c r="DH56" s="1" t="n"/>
      <c r="DI56" s="1" t="n"/>
      <c r="DJ56" s="1" t="n"/>
      <c r="DK56" s="1" t="n"/>
      <c r="DL56" s="1" t="n"/>
      <c r="DM56" s="1" t="n"/>
      <c r="DN56" s="1" t="n"/>
      <c r="DO56" s="1" t="n"/>
      <c r="DP56" s="1" t="n"/>
      <c r="DQ56" s="1" t="n"/>
      <c r="DR56" s="1" t="n"/>
      <c r="DS56" s="1" t="n"/>
      <c r="DT56" s="1" t="n"/>
      <c r="DU56" s="1" t="n"/>
      <c r="DV56" s="1" t="n"/>
      <c r="DW56" s="1" t="n"/>
      <c r="DX56" s="1" t="n"/>
      <c r="DY56" s="1" t="n"/>
      <c r="DZ56" s="1" t="n"/>
      <c r="EA56" s="1" t="n"/>
      <c r="EB56" s="1" t="n"/>
      <c r="EC56" s="1" t="n"/>
      <c r="ED56" s="1" t="n"/>
      <c r="EE56" s="1" t="n"/>
      <c r="EF56" s="1" t="n"/>
      <c r="EG56" s="1" t="n"/>
      <c r="EH56" s="1" t="n"/>
      <c r="EI56" s="1" t="n"/>
      <c r="EJ56" s="1" t="n"/>
      <c r="EK56" s="1" t="n"/>
      <c r="EL56" s="1" t="n"/>
      <c r="EM56" s="1" t="n"/>
      <c r="EN56" s="1" t="n"/>
      <c r="EO56" s="1" t="n"/>
      <c r="EP56" s="1" t="n"/>
      <c r="EQ56" s="1" t="n"/>
      <c r="ER56" s="1" t="n"/>
      <c r="ES56" s="1" t="n"/>
      <c r="ET56" s="1" t="n"/>
      <c r="EU56" s="1" t="n"/>
      <c r="EV56" s="1" t="n"/>
      <c r="EW56" s="1" t="n"/>
      <c r="EX56" s="1" t="n"/>
      <c r="EY56" s="1" t="n"/>
      <c r="EZ56" s="1" t="n"/>
      <c r="FA56" s="1" t="n"/>
      <c r="FB56" s="1" t="n"/>
      <c r="FC56" s="1" t="n"/>
      <c r="FD56" s="1" t="n"/>
      <c r="FE56" s="1" t="n"/>
      <c r="FF56" s="1" t="n"/>
      <c r="FG56" s="1" t="n"/>
      <c r="FH56" s="1" t="n"/>
      <c r="FI56" s="1" t="n"/>
      <c r="FJ56" s="1" t="n"/>
      <c r="FK56" s="1" t="n"/>
      <c r="FL56" s="1" t="n"/>
      <c r="FM56" s="1" t="n"/>
      <c r="FN56" s="1" t="n"/>
      <c r="FO56" s="1" t="n"/>
      <c r="FP56" s="1" t="n"/>
      <c r="FQ56" s="1" t="n"/>
      <c r="FR56" s="1" t="n"/>
      <c r="FS56" s="1" t="n"/>
      <c r="FT56" s="1" t="n"/>
      <c r="FU56" s="1" t="n"/>
      <c r="FV56" s="1" t="n"/>
      <c r="FW56" s="1" t="n"/>
      <c r="FX56" s="1" t="n"/>
      <c r="FY56" s="1" t="n"/>
      <c r="FZ56" s="1" t="n"/>
      <c r="GA56" s="1" t="n"/>
      <c r="GB56" s="1" t="n"/>
      <c r="GC56" s="1" t="n"/>
      <c r="GD56" s="1" t="n"/>
      <c r="GE56" s="1" t="n"/>
      <c r="GF56" s="1" t="n"/>
      <c r="GG56" s="1" t="n"/>
      <c r="GH56" s="1" t="n"/>
      <c r="GI56" s="1" t="n"/>
      <c r="GJ56" s="1" t="n"/>
      <c r="GK56" s="1" t="n"/>
      <c r="GL56" s="1" t="n"/>
      <c r="GM56" s="1" t="n"/>
      <c r="GN56" s="1" t="n"/>
      <c r="GO56" s="1" t="n"/>
      <c r="GP56" s="1" t="n"/>
      <c r="GQ56" s="1" t="n"/>
      <c r="GR56" s="1" t="n"/>
      <c r="GS56" s="1" t="n"/>
      <c r="GT56" s="1" t="n"/>
      <c r="GU56" s="1" t="n"/>
      <c r="GV56" s="1" t="n"/>
      <c r="GW56" s="1" t="n"/>
      <c r="GX56" s="1" t="n"/>
      <c r="GY56" s="1" t="n"/>
      <c r="GZ56" s="1" t="n"/>
      <c r="HA56" s="1" t="n"/>
      <c r="HB56" s="1" t="n"/>
      <c r="HC56" s="1" t="n"/>
      <c r="HD56" s="1" t="n"/>
      <c r="HE56" s="1" t="n"/>
      <c r="HF56" s="1" t="n"/>
      <c r="HG56" s="1" t="n"/>
      <c r="HH56" s="1" t="n"/>
      <c r="HI56" s="1" t="n"/>
      <c r="HJ56" s="1" t="n"/>
      <c r="HK56" s="1" t="n"/>
      <c r="HL56" s="1" t="n"/>
      <c r="HM56" s="1" t="n"/>
      <c r="HN56" s="1" t="n"/>
      <c r="HO56" s="1" t="n"/>
      <c r="HP56" s="1" t="n"/>
      <c r="HQ56" s="1" t="n"/>
      <c r="HR56" s="1" t="n"/>
      <c r="HS56" s="1" t="n"/>
      <c r="HT56" s="1" t="n"/>
      <c r="HU56" s="1" t="n"/>
      <c r="HV56" s="1" t="n"/>
      <c r="HW56" s="1" t="n"/>
      <c r="HX56" s="1" t="n"/>
      <c r="HY56" s="1" t="n"/>
      <c r="HZ56" s="1" t="n"/>
      <c r="IA56" s="1" t="n"/>
      <c r="IB56" s="1" t="n"/>
      <c r="IC56" s="1" t="n"/>
      <c r="ID56" s="1" t="n"/>
      <c r="IE56" s="1" t="n"/>
      <c r="IF56" s="1" t="n"/>
      <c r="IG56" s="1" t="n"/>
      <c r="IH56" s="1" t="n"/>
      <c r="II56" s="1" t="n"/>
      <c r="IJ56" s="1" t="n"/>
      <c r="IK56" s="1" t="n"/>
      <c r="IL56" s="1" t="n"/>
      <c r="IM56" s="1" t="n"/>
      <c r="IN56" s="1" t="n"/>
      <c r="IO56" s="1" t="n"/>
      <c r="IP56" s="1" t="n"/>
      <c r="IQ56" s="1" t="n"/>
      <c r="IR56" s="1" t="n"/>
      <c r="IS56" s="1" t="n"/>
      <c r="IT56" s="1" t="n"/>
      <c r="IU56" s="1" t="n"/>
      <c r="IV56" s="1" t="n"/>
      <c r="IW56" s="1" t="n"/>
    </row>
    <row r="57">
      <c r="A57" s="158" t="inlineStr">
        <is>
          <t>G. W.: 8.9 kg 19.62 lbs</t>
        </is>
      </c>
    </row>
    <row r="58">
      <c r="A58" s="158" t="inlineStr">
        <is>
          <t>Dims (WDH): 550 x 475 x 205 mm</t>
        </is>
      </c>
    </row>
    <row r="59">
      <c r="A59" s="158" t="inlineStr">
        <is>
          <t>(WDH): 21.7 x 18.7 x 8.1 inches</t>
        </is>
      </c>
    </row>
    <row r="60">
      <c r="A60" s="158" t="inlineStr">
        <is>
          <t>Made in Vietnam</t>
        </is>
      </c>
    </row>
    <row r="61">
      <c r="A61" s="158" t="inlineStr">
        <is>
          <t>*** GOODS ROHS COMPLIANT***</t>
        </is>
      </c>
    </row>
    <row r="62">
      <c r="A62" s="158" t="inlineStr">
        <is>
          <t>RFID</t>
        </is>
      </c>
    </row>
  </sheetData>
  <mergeCells count="6">
    <mergeCell ref="A2:L2"/>
    <mergeCell ref="A11:C11"/>
    <mergeCell ref="A1:L1"/>
    <mergeCell ref="A22:C22"/>
    <mergeCell ref="A3:L3"/>
    <mergeCell ref="A4:L4"/>
  </mergeCells>
  <printOptions horizontalCentered="1"/>
  <pageMargins left="0" right="0" top="0.3937007874015748" bottom="0" header="0.5118110236220472" footer="0.5118110236220472"/>
  <pageSetup orientation="portrait" paperSize="9" scale="65" fitToHeight="0"/>
</worksheet>
</file>

<file path=xl/worksheets/sheet2.xml><?xml version="1.0" encoding="utf-8"?>
<worksheet xmlns="http://schemas.openxmlformats.org/spreadsheetml/2006/main">
  <sheetPr codeName="工作表9">
    <outlinePr summaryBelow="1" summaryRight="1"/>
    <pageSetUpPr/>
  </sheetPr>
  <dimension ref="A1:IV49"/>
  <sheetViews>
    <sheetView view="pageBreakPreview" zoomScale="115" zoomScaleNormal="100" zoomScaleSheetLayoutView="115" workbookViewId="0">
      <selection activeCell="B14" sqref="B14"/>
    </sheetView>
  </sheetViews>
  <sheetFormatPr baseColWidth="8" defaultRowHeight="14"/>
  <cols>
    <col width="3.6328125" customWidth="1" style="55" min="1" max="1"/>
    <col width="17.36328125" customWidth="1" style="55" min="2" max="2"/>
    <col width="63.08984375" customWidth="1" style="55" min="3" max="3"/>
    <col width="8.6328125" customWidth="1" style="55" min="4" max="4"/>
    <col width="12.6328125" customWidth="1" style="55" min="5" max="5"/>
    <col width="14.6328125" customWidth="1" style="55" min="6" max="6"/>
    <col width="11.7265625" customWidth="1" style="55" min="7" max="7"/>
    <col width="9" customWidth="1" style="55" min="8" max="256"/>
    <col width="3.6328125" customWidth="1" style="55" min="257" max="257"/>
    <col width="17.36328125" customWidth="1" style="55" min="258" max="258"/>
    <col width="63.08984375" customWidth="1" style="55" min="259" max="259"/>
    <col width="8.6328125" customWidth="1" style="55" min="260" max="260"/>
    <col width="12.6328125" customWidth="1" style="55" min="261" max="261"/>
    <col width="14.6328125" customWidth="1" style="55" min="262" max="262"/>
    <col width="11.7265625" customWidth="1" style="55" min="263" max="263"/>
    <col width="9" customWidth="1" style="55" min="264" max="512"/>
    <col width="3.6328125" customWidth="1" style="55" min="513" max="513"/>
    <col width="17.36328125" customWidth="1" style="55" min="514" max="514"/>
    <col width="63.08984375" customWidth="1" style="55" min="515" max="515"/>
    <col width="8.6328125" customWidth="1" style="55" min="516" max="516"/>
    <col width="12.6328125" customWidth="1" style="55" min="517" max="517"/>
    <col width="14.6328125" customWidth="1" style="55" min="518" max="518"/>
    <col width="11.7265625" customWidth="1" style="55" min="519" max="519"/>
    <col width="9" customWidth="1" style="55" min="520" max="768"/>
    <col width="3.6328125" customWidth="1" style="55" min="769" max="769"/>
    <col width="17.36328125" customWidth="1" style="55" min="770" max="770"/>
    <col width="63.08984375" customWidth="1" style="55" min="771" max="771"/>
    <col width="8.6328125" customWidth="1" style="55" min="772" max="772"/>
    <col width="12.6328125" customWidth="1" style="55" min="773" max="773"/>
    <col width="14.6328125" customWidth="1" style="55" min="774" max="774"/>
    <col width="11.7265625" customWidth="1" style="55" min="775" max="775"/>
    <col width="9" customWidth="1" style="55" min="776" max="1024"/>
    <col width="3.6328125" customWidth="1" style="55" min="1025" max="1025"/>
    <col width="17.36328125" customWidth="1" style="55" min="1026" max="1026"/>
    <col width="63.08984375" customWidth="1" style="55" min="1027" max="1027"/>
    <col width="8.6328125" customWidth="1" style="55" min="1028" max="1028"/>
    <col width="12.6328125" customWidth="1" style="55" min="1029" max="1029"/>
    <col width="14.6328125" customWidth="1" style="55" min="1030" max="1030"/>
    <col width="11.7265625" customWidth="1" style="55" min="1031" max="1031"/>
    <col width="9" customWidth="1" style="55" min="1032" max="1280"/>
    <col width="3.6328125" customWidth="1" style="55" min="1281" max="1281"/>
    <col width="17.36328125" customWidth="1" style="55" min="1282" max="1282"/>
    <col width="63.08984375" customWidth="1" style="55" min="1283" max="1283"/>
    <col width="8.6328125" customWidth="1" style="55" min="1284" max="1284"/>
    <col width="12.6328125" customWidth="1" style="55" min="1285" max="1285"/>
    <col width="14.6328125" customWidth="1" style="55" min="1286" max="1286"/>
    <col width="11.7265625" customWidth="1" style="55" min="1287" max="1287"/>
    <col width="9" customWidth="1" style="55" min="1288" max="1536"/>
    <col width="3.6328125" customWidth="1" style="55" min="1537" max="1537"/>
    <col width="17.36328125" customWidth="1" style="55" min="1538" max="1538"/>
    <col width="63.08984375" customWidth="1" style="55" min="1539" max="1539"/>
    <col width="8.6328125" customWidth="1" style="55" min="1540" max="1540"/>
    <col width="12.6328125" customWidth="1" style="55" min="1541" max="1541"/>
    <col width="14.6328125" customWidth="1" style="55" min="1542" max="1542"/>
    <col width="11.7265625" customWidth="1" style="55" min="1543" max="1543"/>
    <col width="9" customWidth="1" style="55" min="1544" max="1792"/>
    <col width="3.6328125" customWidth="1" style="55" min="1793" max="1793"/>
    <col width="17.36328125" customWidth="1" style="55" min="1794" max="1794"/>
    <col width="63.08984375" customWidth="1" style="55" min="1795" max="1795"/>
    <col width="8.6328125" customWidth="1" style="55" min="1796" max="1796"/>
    <col width="12.6328125" customWidth="1" style="55" min="1797" max="1797"/>
    <col width="14.6328125" customWidth="1" style="55" min="1798" max="1798"/>
    <col width="11.7265625" customWidth="1" style="55" min="1799" max="1799"/>
    <col width="9" customWidth="1" style="55" min="1800" max="2048"/>
    <col width="3.6328125" customWidth="1" style="55" min="2049" max="2049"/>
    <col width="17.36328125" customWidth="1" style="55" min="2050" max="2050"/>
    <col width="63.08984375" customWidth="1" style="55" min="2051" max="2051"/>
    <col width="8.6328125" customWidth="1" style="55" min="2052" max="2052"/>
    <col width="12.6328125" customWidth="1" style="55" min="2053" max="2053"/>
    <col width="14.6328125" customWidth="1" style="55" min="2054" max="2054"/>
    <col width="11.7265625" customWidth="1" style="55" min="2055" max="2055"/>
    <col width="9" customWidth="1" style="55" min="2056" max="2304"/>
    <col width="3.6328125" customWidth="1" style="55" min="2305" max="2305"/>
    <col width="17.36328125" customWidth="1" style="55" min="2306" max="2306"/>
    <col width="63.08984375" customWidth="1" style="55" min="2307" max="2307"/>
    <col width="8.6328125" customWidth="1" style="55" min="2308" max="2308"/>
    <col width="12.6328125" customWidth="1" style="55" min="2309" max="2309"/>
    <col width="14.6328125" customWidth="1" style="55" min="2310" max="2310"/>
    <col width="11.7265625" customWidth="1" style="55" min="2311" max="2311"/>
    <col width="9" customWidth="1" style="55" min="2312" max="2560"/>
    <col width="3.6328125" customWidth="1" style="55" min="2561" max="2561"/>
    <col width="17.36328125" customWidth="1" style="55" min="2562" max="2562"/>
    <col width="63.08984375" customWidth="1" style="55" min="2563" max="2563"/>
    <col width="8.6328125" customWidth="1" style="55" min="2564" max="2564"/>
    <col width="12.6328125" customWidth="1" style="55" min="2565" max="2565"/>
    <col width="14.6328125" customWidth="1" style="55" min="2566" max="2566"/>
    <col width="11.7265625" customWidth="1" style="55" min="2567" max="2567"/>
    <col width="9" customWidth="1" style="55" min="2568" max="2816"/>
    <col width="3.6328125" customWidth="1" style="55" min="2817" max="2817"/>
    <col width="17.36328125" customWidth="1" style="55" min="2818" max="2818"/>
    <col width="63.08984375" customWidth="1" style="55" min="2819" max="2819"/>
    <col width="8.6328125" customWidth="1" style="55" min="2820" max="2820"/>
    <col width="12.6328125" customWidth="1" style="55" min="2821" max="2821"/>
    <col width="14.6328125" customWidth="1" style="55" min="2822" max="2822"/>
    <col width="11.7265625" customWidth="1" style="55" min="2823" max="2823"/>
    <col width="9" customWidth="1" style="55" min="2824" max="3072"/>
    <col width="3.6328125" customWidth="1" style="55" min="3073" max="3073"/>
    <col width="17.36328125" customWidth="1" style="55" min="3074" max="3074"/>
    <col width="63.08984375" customWidth="1" style="55" min="3075" max="3075"/>
    <col width="8.6328125" customWidth="1" style="55" min="3076" max="3076"/>
    <col width="12.6328125" customWidth="1" style="55" min="3077" max="3077"/>
    <col width="14.6328125" customWidth="1" style="55" min="3078" max="3078"/>
    <col width="11.7265625" customWidth="1" style="55" min="3079" max="3079"/>
    <col width="9" customWidth="1" style="55" min="3080" max="3328"/>
    <col width="3.6328125" customWidth="1" style="55" min="3329" max="3329"/>
    <col width="17.36328125" customWidth="1" style="55" min="3330" max="3330"/>
    <col width="63.08984375" customWidth="1" style="55" min="3331" max="3331"/>
    <col width="8.6328125" customWidth="1" style="55" min="3332" max="3332"/>
    <col width="12.6328125" customWidth="1" style="55" min="3333" max="3333"/>
    <col width="14.6328125" customWidth="1" style="55" min="3334" max="3334"/>
    <col width="11.7265625" customWidth="1" style="55" min="3335" max="3335"/>
    <col width="9" customWidth="1" style="55" min="3336" max="3584"/>
    <col width="3.6328125" customWidth="1" style="55" min="3585" max="3585"/>
    <col width="17.36328125" customWidth="1" style="55" min="3586" max="3586"/>
    <col width="63.08984375" customWidth="1" style="55" min="3587" max="3587"/>
    <col width="8.6328125" customWidth="1" style="55" min="3588" max="3588"/>
    <col width="12.6328125" customWidth="1" style="55" min="3589" max="3589"/>
    <col width="14.6328125" customWidth="1" style="55" min="3590" max="3590"/>
    <col width="11.7265625" customWidth="1" style="55" min="3591" max="3591"/>
    <col width="9" customWidth="1" style="55" min="3592" max="3840"/>
    <col width="3.6328125" customWidth="1" style="55" min="3841" max="3841"/>
    <col width="17.36328125" customWidth="1" style="55" min="3842" max="3842"/>
    <col width="63.08984375" customWidth="1" style="55" min="3843" max="3843"/>
    <col width="8.6328125" customWidth="1" style="55" min="3844" max="3844"/>
    <col width="12.6328125" customWidth="1" style="55" min="3845" max="3845"/>
    <col width="14.6328125" customWidth="1" style="55" min="3846" max="3846"/>
    <col width="11.7265625" customWidth="1" style="55" min="3847" max="3847"/>
    <col width="9" customWidth="1" style="55" min="3848" max="4096"/>
    <col width="3.6328125" customWidth="1" style="55" min="4097" max="4097"/>
    <col width="17.36328125" customWidth="1" style="55" min="4098" max="4098"/>
    <col width="63.08984375" customWidth="1" style="55" min="4099" max="4099"/>
    <col width="8.6328125" customWidth="1" style="55" min="4100" max="4100"/>
    <col width="12.6328125" customWidth="1" style="55" min="4101" max="4101"/>
    <col width="14.6328125" customWidth="1" style="55" min="4102" max="4102"/>
    <col width="11.7265625" customWidth="1" style="55" min="4103" max="4103"/>
    <col width="9" customWidth="1" style="55" min="4104" max="4352"/>
    <col width="3.6328125" customWidth="1" style="55" min="4353" max="4353"/>
    <col width="17.36328125" customWidth="1" style="55" min="4354" max="4354"/>
    <col width="63.08984375" customWidth="1" style="55" min="4355" max="4355"/>
    <col width="8.6328125" customWidth="1" style="55" min="4356" max="4356"/>
    <col width="12.6328125" customWidth="1" style="55" min="4357" max="4357"/>
    <col width="14.6328125" customWidth="1" style="55" min="4358" max="4358"/>
    <col width="11.7265625" customWidth="1" style="55" min="4359" max="4359"/>
    <col width="9" customWidth="1" style="55" min="4360" max="4608"/>
    <col width="3.6328125" customWidth="1" style="55" min="4609" max="4609"/>
    <col width="17.36328125" customWidth="1" style="55" min="4610" max="4610"/>
    <col width="63.08984375" customWidth="1" style="55" min="4611" max="4611"/>
    <col width="8.6328125" customWidth="1" style="55" min="4612" max="4612"/>
    <col width="12.6328125" customWidth="1" style="55" min="4613" max="4613"/>
    <col width="14.6328125" customWidth="1" style="55" min="4614" max="4614"/>
    <col width="11.7265625" customWidth="1" style="55" min="4615" max="4615"/>
    <col width="9" customWidth="1" style="55" min="4616" max="4864"/>
    <col width="3.6328125" customWidth="1" style="55" min="4865" max="4865"/>
    <col width="17.36328125" customWidth="1" style="55" min="4866" max="4866"/>
    <col width="63.08984375" customWidth="1" style="55" min="4867" max="4867"/>
    <col width="8.6328125" customWidth="1" style="55" min="4868" max="4868"/>
    <col width="12.6328125" customWidth="1" style="55" min="4869" max="4869"/>
    <col width="14.6328125" customWidth="1" style="55" min="4870" max="4870"/>
    <col width="11.7265625" customWidth="1" style="55" min="4871" max="4871"/>
    <col width="9" customWidth="1" style="55" min="4872" max="5120"/>
    <col width="3.6328125" customWidth="1" style="55" min="5121" max="5121"/>
    <col width="17.36328125" customWidth="1" style="55" min="5122" max="5122"/>
    <col width="63.08984375" customWidth="1" style="55" min="5123" max="5123"/>
    <col width="8.6328125" customWidth="1" style="55" min="5124" max="5124"/>
    <col width="12.6328125" customWidth="1" style="55" min="5125" max="5125"/>
    <col width="14.6328125" customWidth="1" style="55" min="5126" max="5126"/>
    <col width="11.7265625" customWidth="1" style="55" min="5127" max="5127"/>
    <col width="9" customWidth="1" style="55" min="5128" max="5376"/>
    <col width="3.6328125" customWidth="1" style="55" min="5377" max="5377"/>
    <col width="17.36328125" customWidth="1" style="55" min="5378" max="5378"/>
    <col width="63.08984375" customWidth="1" style="55" min="5379" max="5379"/>
    <col width="8.6328125" customWidth="1" style="55" min="5380" max="5380"/>
    <col width="12.6328125" customWidth="1" style="55" min="5381" max="5381"/>
    <col width="14.6328125" customWidth="1" style="55" min="5382" max="5382"/>
    <col width="11.7265625" customWidth="1" style="55" min="5383" max="5383"/>
    <col width="9" customWidth="1" style="55" min="5384" max="5632"/>
    <col width="3.6328125" customWidth="1" style="55" min="5633" max="5633"/>
    <col width="17.36328125" customWidth="1" style="55" min="5634" max="5634"/>
    <col width="63.08984375" customWidth="1" style="55" min="5635" max="5635"/>
    <col width="8.6328125" customWidth="1" style="55" min="5636" max="5636"/>
    <col width="12.6328125" customWidth="1" style="55" min="5637" max="5637"/>
    <col width="14.6328125" customWidth="1" style="55" min="5638" max="5638"/>
    <col width="11.7265625" customWidth="1" style="55" min="5639" max="5639"/>
    <col width="9" customWidth="1" style="55" min="5640" max="5888"/>
    <col width="3.6328125" customWidth="1" style="55" min="5889" max="5889"/>
    <col width="17.36328125" customWidth="1" style="55" min="5890" max="5890"/>
    <col width="63.08984375" customWidth="1" style="55" min="5891" max="5891"/>
    <col width="8.6328125" customWidth="1" style="55" min="5892" max="5892"/>
    <col width="12.6328125" customWidth="1" style="55" min="5893" max="5893"/>
    <col width="14.6328125" customWidth="1" style="55" min="5894" max="5894"/>
    <col width="11.7265625" customWidth="1" style="55" min="5895" max="5895"/>
    <col width="9" customWidth="1" style="55" min="5896" max="6144"/>
    <col width="3.6328125" customWidth="1" style="55" min="6145" max="6145"/>
    <col width="17.36328125" customWidth="1" style="55" min="6146" max="6146"/>
    <col width="63.08984375" customWidth="1" style="55" min="6147" max="6147"/>
    <col width="8.6328125" customWidth="1" style="55" min="6148" max="6148"/>
    <col width="12.6328125" customWidth="1" style="55" min="6149" max="6149"/>
    <col width="14.6328125" customWidth="1" style="55" min="6150" max="6150"/>
    <col width="11.7265625" customWidth="1" style="55" min="6151" max="6151"/>
    <col width="9" customWidth="1" style="55" min="6152" max="6400"/>
    <col width="3.6328125" customWidth="1" style="55" min="6401" max="6401"/>
    <col width="17.36328125" customWidth="1" style="55" min="6402" max="6402"/>
    <col width="63.08984375" customWidth="1" style="55" min="6403" max="6403"/>
    <col width="8.6328125" customWidth="1" style="55" min="6404" max="6404"/>
    <col width="12.6328125" customWidth="1" style="55" min="6405" max="6405"/>
    <col width="14.6328125" customWidth="1" style="55" min="6406" max="6406"/>
    <col width="11.7265625" customWidth="1" style="55" min="6407" max="6407"/>
    <col width="9" customWidth="1" style="55" min="6408" max="6656"/>
    <col width="3.6328125" customWidth="1" style="55" min="6657" max="6657"/>
    <col width="17.36328125" customWidth="1" style="55" min="6658" max="6658"/>
    <col width="63.08984375" customWidth="1" style="55" min="6659" max="6659"/>
    <col width="8.6328125" customWidth="1" style="55" min="6660" max="6660"/>
    <col width="12.6328125" customWidth="1" style="55" min="6661" max="6661"/>
    <col width="14.6328125" customWidth="1" style="55" min="6662" max="6662"/>
    <col width="11.7265625" customWidth="1" style="55" min="6663" max="6663"/>
    <col width="9" customWidth="1" style="55" min="6664" max="6912"/>
    <col width="3.6328125" customWidth="1" style="55" min="6913" max="6913"/>
    <col width="17.36328125" customWidth="1" style="55" min="6914" max="6914"/>
    <col width="63.08984375" customWidth="1" style="55" min="6915" max="6915"/>
    <col width="8.6328125" customWidth="1" style="55" min="6916" max="6916"/>
    <col width="12.6328125" customWidth="1" style="55" min="6917" max="6917"/>
    <col width="14.6328125" customWidth="1" style="55" min="6918" max="6918"/>
    <col width="11.7265625" customWidth="1" style="55" min="6919" max="6919"/>
    <col width="9" customWidth="1" style="55" min="6920" max="7168"/>
    <col width="3.6328125" customWidth="1" style="55" min="7169" max="7169"/>
    <col width="17.36328125" customWidth="1" style="55" min="7170" max="7170"/>
    <col width="63.08984375" customWidth="1" style="55" min="7171" max="7171"/>
    <col width="8.6328125" customWidth="1" style="55" min="7172" max="7172"/>
    <col width="12.6328125" customWidth="1" style="55" min="7173" max="7173"/>
    <col width="14.6328125" customWidth="1" style="55" min="7174" max="7174"/>
    <col width="11.7265625" customWidth="1" style="55" min="7175" max="7175"/>
    <col width="9" customWidth="1" style="55" min="7176" max="7424"/>
    <col width="3.6328125" customWidth="1" style="55" min="7425" max="7425"/>
    <col width="17.36328125" customWidth="1" style="55" min="7426" max="7426"/>
    <col width="63.08984375" customWidth="1" style="55" min="7427" max="7427"/>
    <col width="8.6328125" customWidth="1" style="55" min="7428" max="7428"/>
    <col width="12.6328125" customWidth="1" style="55" min="7429" max="7429"/>
    <col width="14.6328125" customWidth="1" style="55" min="7430" max="7430"/>
    <col width="11.7265625" customWidth="1" style="55" min="7431" max="7431"/>
    <col width="9" customWidth="1" style="55" min="7432" max="7680"/>
    <col width="3.6328125" customWidth="1" style="55" min="7681" max="7681"/>
    <col width="17.36328125" customWidth="1" style="55" min="7682" max="7682"/>
    <col width="63.08984375" customWidth="1" style="55" min="7683" max="7683"/>
    <col width="8.6328125" customWidth="1" style="55" min="7684" max="7684"/>
    <col width="12.6328125" customWidth="1" style="55" min="7685" max="7685"/>
    <col width="14.6328125" customWidth="1" style="55" min="7686" max="7686"/>
    <col width="11.7265625" customWidth="1" style="55" min="7687" max="7687"/>
    <col width="9" customWidth="1" style="55" min="7688" max="7936"/>
    <col width="3.6328125" customWidth="1" style="55" min="7937" max="7937"/>
    <col width="17.36328125" customWidth="1" style="55" min="7938" max="7938"/>
    <col width="63.08984375" customWidth="1" style="55" min="7939" max="7939"/>
    <col width="8.6328125" customWidth="1" style="55" min="7940" max="7940"/>
    <col width="12.6328125" customWidth="1" style="55" min="7941" max="7941"/>
    <col width="14.6328125" customWidth="1" style="55" min="7942" max="7942"/>
    <col width="11.7265625" customWidth="1" style="55" min="7943" max="7943"/>
    <col width="9" customWidth="1" style="55" min="7944" max="8192"/>
    <col width="3.6328125" customWidth="1" style="55" min="8193" max="8193"/>
    <col width="17.36328125" customWidth="1" style="55" min="8194" max="8194"/>
    <col width="63.08984375" customWidth="1" style="55" min="8195" max="8195"/>
    <col width="8.6328125" customWidth="1" style="55" min="8196" max="8196"/>
    <col width="12.6328125" customWidth="1" style="55" min="8197" max="8197"/>
    <col width="14.6328125" customWidth="1" style="55" min="8198" max="8198"/>
    <col width="11.7265625" customWidth="1" style="55" min="8199" max="8199"/>
    <col width="9" customWidth="1" style="55" min="8200" max="8448"/>
    <col width="3.6328125" customWidth="1" style="55" min="8449" max="8449"/>
    <col width="17.36328125" customWidth="1" style="55" min="8450" max="8450"/>
    <col width="63.08984375" customWidth="1" style="55" min="8451" max="8451"/>
    <col width="8.6328125" customWidth="1" style="55" min="8452" max="8452"/>
    <col width="12.6328125" customWidth="1" style="55" min="8453" max="8453"/>
    <col width="14.6328125" customWidth="1" style="55" min="8454" max="8454"/>
    <col width="11.7265625" customWidth="1" style="55" min="8455" max="8455"/>
    <col width="9" customWidth="1" style="55" min="8456" max="8704"/>
    <col width="3.6328125" customWidth="1" style="55" min="8705" max="8705"/>
    <col width="17.36328125" customWidth="1" style="55" min="8706" max="8706"/>
    <col width="63.08984375" customWidth="1" style="55" min="8707" max="8707"/>
    <col width="8.6328125" customWidth="1" style="55" min="8708" max="8708"/>
    <col width="12.6328125" customWidth="1" style="55" min="8709" max="8709"/>
    <col width="14.6328125" customWidth="1" style="55" min="8710" max="8710"/>
    <col width="11.7265625" customWidth="1" style="55" min="8711" max="8711"/>
    <col width="9" customWidth="1" style="55" min="8712" max="8960"/>
    <col width="3.6328125" customWidth="1" style="55" min="8961" max="8961"/>
    <col width="17.36328125" customWidth="1" style="55" min="8962" max="8962"/>
    <col width="63.08984375" customWidth="1" style="55" min="8963" max="8963"/>
    <col width="8.6328125" customWidth="1" style="55" min="8964" max="8964"/>
    <col width="12.6328125" customWidth="1" style="55" min="8965" max="8965"/>
    <col width="14.6328125" customWidth="1" style="55" min="8966" max="8966"/>
    <col width="11.7265625" customWidth="1" style="55" min="8967" max="8967"/>
    <col width="9" customWidth="1" style="55" min="8968" max="9216"/>
    <col width="3.6328125" customWidth="1" style="55" min="9217" max="9217"/>
    <col width="17.36328125" customWidth="1" style="55" min="9218" max="9218"/>
    <col width="63.08984375" customWidth="1" style="55" min="9219" max="9219"/>
    <col width="8.6328125" customWidth="1" style="55" min="9220" max="9220"/>
    <col width="12.6328125" customWidth="1" style="55" min="9221" max="9221"/>
    <col width="14.6328125" customWidth="1" style="55" min="9222" max="9222"/>
    <col width="11.7265625" customWidth="1" style="55" min="9223" max="9223"/>
    <col width="9" customWidth="1" style="55" min="9224" max="9472"/>
    <col width="3.6328125" customWidth="1" style="55" min="9473" max="9473"/>
    <col width="17.36328125" customWidth="1" style="55" min="9474" max="9474"/>
    <col width="63.08984375" customWidth="1" style="55" min="9475" max="9475"/>
    <col width="8.6328125" customWidth="1" style="55" min="9476" max="9476"/>
    <col width="12.6328125" customWidth="1" style="55" min="9477" max="9477"/>
    <col width="14.6328125" customWidth="1" style="55" min="9478" max="9478"/>
    <col width="11.7265625" customWidth="1" style="55" min="9479" max="9479"/>
    <col width="9" customWidth="1" style="55" min="9480" max="9728"/>
    <col width="3.6328125" customWidth="1" style="55" min="9729" max="9729"/>
    <col width="17.36328125" customWidth="1" style="55" min="9730" max="9730"/>
    <col width="63.08984375" customWidth="1" style="55" min="9731" max="9731"/>
    <col width="8.6328125" customWidth="1" style="55" min="9732" max="9732"/>
    <col width="12.6328125" customWidth="1" style="55" min="9733" max="9733"/>
    <col width="14.6328125" customWidth="1" style="55" min="9734" max="9734"/>
    <col width="11.7265625" customWidth="1" style="55" min="9735" max="9735"/>
    <col width="9" customWidth="1" style="55" min="9736" max="9984"/>
    <col width="3.6328125" customWidth="1" style="55" min="9985" max="9985"/>
    <col width="17.36328125" customWidth="1" style="55" min="9986" max="9986"/>
    <col width="63.08984375" customWidth="1" style="55" min="9987" max="9987"/>
    <col width="8.6328125" customWidth="1" style="55" min="9988" max="9988"/>
    <col width="12.6328125" customWidth="1" style="55" min="9989" max="9989"/>
    <col width="14.6328125" customWidth="1" style="55" min="9990" max="9990"/>
    <col width="11.7265625" customWidth="1" style="55" min="9991" max="9991"/>
    <col width="9" customWidth="1" style="55" min="9992" max="10240"/>
    <col width="3.6328125" customWidth="1" style="55" min="10241" max="10241"/>
    <col width="17.36328125" customWidth="1" style="55" min="10242" max="10242"/>
    <col width="63.08984375" customWidth="1" style="55" min="10243" max="10243"/>
    <col width="8.6328125" customWidth="1" style="55" min="10244" max="10244"/>
    <col width="12.6328125" customWidth="1" style="55" min="10245" max="10245"/>
    <col width="14.6328125" customWidth="1" style="55" min="10246" max="10246"/>
    <col width="11.7265625" customWidth="1" style="55" min="10247" max="10247"/>
    <col width="9" customWidth="1" style="55" min="10248" max="10496"/>
    <col width="3.6328125" customWidth="1" style="55" min="10497" max="10497"/>
    <col width="17.36328125" customWidth="1" style="55" min="10498" max="10498"/>
    <col width="63.08984375" customWidth="1" style="55" min="10499" max="10499"/>
    <col width="8.6328125" customWidth="1" style="55" min="10500" max="10500"/>
    <col width="12.6328125" customWidth="1" style="55" min="10501" max="10501"/>
    <col width="14.6328125" customWidth="1" style="55" min="10502" max="10502"/>
    <col width="11.7265625" customWidth="1" style="55" min="10503" max="10503"/>
    <col width="9" customWidth="1" style="55" min="10504" max="10752"/>
    <col width="3.6328125" customWidth="1" style="55" min="10753" max="10753"/>
    <col width="17.36328125" customWidth="1" style="55" min="10754" max="10754"/>
    <col width="63.08984375" customWidth="1" style="55" min="10755" max="10755"/>
    <col width="8.6328125" customWidth="1" style="55" min="10756" max="10756"/>
    <col width="12.6328125" customWidth="1" style="55" min="10757" max="10757"/>
    <col width="14.6328125" customWidth="1" style="55" min="10758" max="10758"/>
    <col width="11.7265625" customWidth="1" style="55" min="10759" max="10759"/>
    <col width="9" customWidth="1" style="55" min="10760" max="11008"/>
    <col width="3.6328125" customWidth="1" style="55" min="11009" max="11009"/>
    <col width="17.36328125" customWidth="1" style="55" min="11010" max="11010"/>
    <col width="63.08984375" customWidth="1" style="55" min="11011" max="11011"/>
    <col width="8.6328125" customWidth="1" style="55" min="11012" max="11012"/>
    <col width="12.6328125" customWidth="1" style="55" min="11013" max="11013"/>
    <col width="14.6328125" customWidth="1" style="55" min="11014" max="11014"/>
    <col width="11.7265625" customWidth="1" style="55" min="11015" max="11015"/>
    <col width="9" customWidth="1" style="55" min="11016" max="11264"/>
    <col width="3.6328125" customWidth="1" style="55" min="11265" max="11265"/>
    <col width="17.36328125" customWidth="1" style="55" min="11266" max="11266"/>
    <col width="63.08984375" customWidth="1" style="55" min="11267" max="11267"/>
    <col width="8.6328125" customWidth="1" style="55" min="11268" max="11268"/>
    <col width="12.6328125" customWidth="1" style="55" min="11269" max="11269"/>
    <col width="14.6328125" customWidth="1" style="55" min="11270" max="11270"/>
    <col width="11.7265625" customWidth="1" style="55" min="11271" max="11271"/>
    <col width="9" customWidth="1" style="55" min="11272" max="11520"/>
    <col width="3.6328125" customWidth="1" style="55" min="11521" max="11521"/>
    <col width="17.36328125" customWidth="1" style="55" min="11522" max="11522"/>
    <col width="63.08984375" customWidth="1" style="55" min="11523" max="11523"/>
    <col width="8.6328125" customWidth="1" style="55" min="11524" max="11524"/>
    <col width="12.6328125" customWidth="1" style="55" min="11525" max="11525"/>
    <col width="14.6328125" customWidth="1" style="55" min="11526" max="11526"/>
    <col width="11.7265625" customWidth="1" style="55" min="11527" max="11527"/>
    <col width="9" customWidth="1" style="55" min="11528" max="11776"/>
    <col width="3.6328125" customWidth="1" style="55" min="11777" max="11777"/>
    <col width="17.36328125" customWidth="1" style="55" min="11778" max="11778"/>
    <col width="63.08984375" customWidth="1" style="55" min="11779" max="11779"/>
    <col width="8.6328125" customWidth="1" style="55" min="11780" max="11780"/>
    <col width="12.6328125" customWidth="1" style="55" min="11781" max="11781"/>
    <col width="14.6328125" customWidth="1" style="55" min="11782" max="11782"/>
    <col width="11.7265625" customWidth="1" style="55" min="11783" max="11783"/>
    <col width="9" customWidth="1" style="55" min="11784" max="12032"/>
    <col width="3.6328125" customWidth="1" style="55" min="12033" max="12033"/>
    <col width="17.36328125" customWidth="1" style="55" min="12034" max="12034"/>
    <col width="63.08984375" customWidth="1" style="55" min="12035" max="12035"/>
    <col width="8.6328125" customWidth="1" style="55" min="12036" max="12036"/>
    <col width="12.6328125" customWidth="1" style="55" min="12037" max="12037"/>
    <col width="14.6328125" customWidth="1" style="55" min="12038" max="12038"/>
    <col width="11.7265625" customWidth="1" style="55" min="12039" max="12039"/>
    <col width="9" customWidth="1" style="55" min="12040" max="12288"/>
    <col width="3.6328125" customWidth="1" style="55" min="12289" max="12289"/>
    <col width="17.36328125" customWidth="1" style="55" min="12290" max="12290"/>
    <col width="63.08984375" customWidth="1" style="55" min="12291" max="12291"/>
    <col width="8.6328125" customWidth="1" style="55" min="12292" max="12292"/>
    <col width="12.6328125" customWidth="1" style="55" min="12293" max="12293"/>
    <col width="14.6328125" customWidth="1" style="55" min="12294" max="12294"/>
    <col width="11.7265625" customWidth="1" style="55" min="12295" max="12295"/>
    <col width="9" customWidth="1" style="55" min="12296" max="12544"/>
    <col width="3.6328125" customWidth="1" style="55" min="12545" max="12545"/>
    <col width="17.36328125" customWidth="1" style="55" min="12546" max="12546"/>
    <col width="63.08984375" customWidth="1" style="55" min="12547" max="12547"/>
    <col width="8.6328125" customWidth="1" style="55" min="12548" max="12548"/>
    <col width="12.6328125" customWidth="1" style="55" min="12549" max="12549"/>
    <col width="14.6328125" customWidth="1" style="55" min="12550" max="12550"/>
    <col width="11.7265625" customWidth="1" style="55" min="12551" max="12551"/>
    <col width="9" customWidth="1" style="55" min="12552" max="12800"/>
    <col width="3.6328125" customWidth="1" style="55" min="12801" max="12801"/>
    <col width="17.36328125" customWidth="1" style="55" min="12802" max="12802"/>
    <col width="63.08984375" customWidth="1" style="55" min="12803" max="12803"/>
    <col width="8.6328125" customWidth="1" style="55" min="12804" max="12804"/>
    <col width="12.6328125" customWidth="1" style="55" min="12805" max="12805"/>
    <col width="14.6328125" customWidth="1" style="55" min="12806" max="12806"/>
    <col width="11.7265625" customWidth="1" style="55" min="12807" max="12807"/>
    <col width="9" customWidth="1" style="55" min="12808" max="13056"/>
    <col width="3.6328125" customWidth="1" style="55" min="13057" max="13057"/>
    <col width="17.36328125" customWidth="1" style="55" min="13058" max="13058"/>
    <col width="63.08984375" customWidth="1" style="55" min="13059" max="13059"/>
    <col width="8.6328125" customWidth="1" style="55" min="13060" max="13060"/>
    <col width="12.6328125" customWidth="1" style="55" min="13061" max="13061"/>
    <col width="14.6328125" customWidth="1" style="55" min="13062" max="13062"/>
    <col width="11.7265625" customWidth="1" style="55" min="13063" max="13063"/>
    <col width="9" customWidth="1" style="55" min="13064" max="13312"/>
    <col width="3.6328125" customWidth="1" style="55" min="13313" max="13313"/>
    <col width="17.36328125" customWidth="1" style="55" min="13314" max="13314"/>
    <col width="63.08984375" customWidth="1" style="55" min="13315" max="13315"/>
    <col width="8.6328125" customWidth="1" style="55" min="13316" max="13316"/>
    <col width="12.6328125" customWidth="1" style="55" min="13317" max="13317"/>
    <col width="14.6328125" customWidth="1" style="55" min="13318" max="13318"/>
    <col width="11.7265625" customWidth="1" style="55" min="13319" max="13319"/>
    <col width="9" customWidth="1" style="55" min="13320" max="13568"/>
    <col width="3.6328125" customWidth="1" style="55" min="13569" max="13569"/>
    <col width="17.36328125" customWidth="1" style="55" min="13570" max="13570"/>
    <col width="63.08984375" customWidth="1" style="55" min="13571" max="13571"/>
    <col width="8.6328125" customWidth="1" style="55" min="13572" max="13572"/>
    <col width="12.6328125" customWidth="1" style="55" min="13573" max="13573"/>
    <col width="14.6328125" customWidth="1" style="55" min="13574" max="13574"/>
    <col width="11.7265625" customWidth="1" style="55" min="13575" max="13575"/>
    <col width="9" customWidth="1" style="55" min="13576" max="13824"/>
    <col width="3.6328125" customWidth="1" style="55" min="13825" max="13825"/>
    <col width="17.36328125" customWidth="1" style="55" min="13826" max="13826"/>
    <col width="63.08984375" customWidth="1" style="55" min="13827" max="13827"/>
    <col width="8.6328125" customWidth="1" style="55" min="13828" max="13828"/>
    <col width="12.6328125" customWidth="1" style="55" min="13829" max="13829"/>
    <col width="14.6328125" customWidth="1" style="55" min="13830" max="13830"/>
    <col width="11.7265625" customWidth="1" style="55" min="13831" max="13831"/>
    <col width="9" customWidth="1" style="55" min="13832" max="14080"/>
    <col width="3.6328125" customWidth="1" style="55" min="14081" max="14081"/>
    <col width="17.36328125" customWidth="1" style="55" min="14082" max="14082"/>
    <col width="63.08984375" customWidth="1" style="55" min="14083" max="14083"/>
    <col width="8.6328125" customWidth="1" style="55" min="14084" max="14084"/>
    <col width="12.6328125" customWidth="1" style="55" min="14085" max="14085"/>
    <col width="14.6328125" customWidth="1" style="55" min="14086" max="14086"/>
    <col width="11.7265625" customWidth="1" style="55" min="14087" max="14087"/>
    <col width="9" customWidth="1" style="55" min="14088" max="14336"/>
    <col width="3.6328125" customWidth="1" style="55" min="14337" max="14337"/>
    <col width="17.36328125" customWidth="1" style="55" min="14338" max="14338"/>
    <col width="63.08984375" customWidth="1" style="55" min="14339" max="14339"/>
    <col width="8.6328125" customWidth="1" style="55" min="14340" max="14340"/>
    <col width="12.6328125" customWidth="1" style="55" min="14341" max="14341"/>
    <col width="14.6328125" customWidth="1" style="55" min="14342" max="14342"/>
    <col width="11.7265625" customWidth="1" style="55" min="14343" max="14343"/>
    <col width="9" customWidth="1" style="55" min="14344" max="14592"/>
    <col width="3.6328125" customWidth="1" style="55" min="14593" max="14593"/>
    <col width="17.36328125" customWidth="1" style="55" min="14594" max="14594"/>
    <col width="63.08984375" customWidth="1" style="55" min="14595" max="14595"/>
    <col width="8.6328125" customWidth="1" style="55" min="14596" max="14596"/>
    <col width="12.6328125" customWidth="1" style="55" min="14597" max="14597"/>
    <col width="14.6328125" customWidth="1" style="55" min="14598" max="14598"/>
    <col width="11.7265625" customWidth="1" style="55" min="14599" max="14599"/>
    <col width="9" customWidth="1" style="55" min="14600" max="14848"/>
    <col width="3.6328125" customWidth="1" style="55" min="14849" max="14849"/>
    <col width="17.36328125" customWidth="1" style="55" min="14850" max="14850"/>
    <col width="63.08984375" customWidth="1" style="55" min="14851" max="14851"/>
    <col width="8.6328125" customWidth="1" style="55" min="14852" max="14852"/>
    <col width="12.6328125" customWidth="1" style="55" min="14853" max="14853"/>
    <col width="14.6328125" customWidth="1" style="55" min="14854" max="14854"/>
    <col width="11.7265625" customWidth="1" style="55" min="14855" max="14855"/>
    <col width="9" customWidth="1" style="55" min="14856" max="15104"/>
    <col width="3.6328125" customWidth="1" style="55" min="15105" max="15105"/>
    <col width="17.36328125" customWidth="1" style="55" min="15106" max="15106"/>
    <col width="63.08984375" customWidth="1" style="55" min="15107" max="15107"/>
    <col width="8.6328125" customWidth="1" style="55" min="15108" max="15108"/>
    <col width="12.6328125" customWidth="1" style="55" min="15109" max="15109"/>
    <col width="14.6328125" customWidth="1" style="55" min="15110" max="15110"/>
    <col width="11.7265625" customWidth="1" style="55" min="15111" max="15111"/>
    <col width="9" customWidth="1" style="55" min="15112" max="15360"/>
    <col width="3.6328125" customWidth="1" style="55" min="15361" max="15361"/>
    <col width="17.36328125" customWidth="1" style="55" min="15362" max="15362"/>
    <col width="63.08984375" customWidth="1" style="55" min="15363" max="15363"/>
    <col width="8.6328125" customWidth="1" style="55" min="15364" max="15364"/>
    <col width="12.6328125" customWidth="1" style="55" min="15365" max="15365"/>
    <col width="14.6328125" customWidth="1" style="55" min="15366" max="15366"/>
    <col width="11.7265625" customWidth="1" style="55" min="15367" max="15367"/>
    <col width="9" customWidth="1" style="55" min="15368" max="15616"/>
    <col width="3.6328125" customWidth="1" style="55" min="15617" max="15617"/>
    <col width="17.36328125" customWidth="1" style="55" min="15618" max="15618"/>
    <col width="63.08984375" customWidth="1" style="55" min="15619" max="15619"/>
    <col width="8.6328125" customWidth="1" style="55" min="15620" max="15620"/>
    <col width="12.6328125" customWidth="1" style="55" min="15621" max="15621"/>
    <col width="14.6328125" customWidth="1" style="55" min="15622" max="15622"/>
    <col width="11.7265625" customWidth="1" style="55" min="15623" max="15623"/>
    <col width="9" customWidth="1" style="55" min="15624" max="15872"/>
    <col width="3.6328125" customWidth="1" style="55" min="15873" max="15873"/>
    <col width="17.36328125" customWidth="1" style="55" min="15874" max="15874"/>
    <col width="63.08984375" customWidth="1" style="55" min="15875" max="15875"/>
    <col width="8.6328125" customWidth="1" style="55" min="15876" max="15876"/>
    <col width="12.6328125" customWidth="1" style="55" min="15877" max="15877"/>
    <col width="14.6328125" customWidth="1" style="55" min="15878" max="15878"/>
    <col width="11.7265625" customWidth="1" style="55" min="15879" max="15879"/>
    <col width="9" customWidth="1" style="55" min="15880" max="16128"/>
    <col width="3.6328125" customWidth="1" style="55" min="16129" max="16129"/>
    <col width="17.36328125" customWidth="1" style="55" min="16130" max="16130"/>
    <col width="63.08984375" customWidth="1" style="55" min="16131" max="16131"/>
    <col width="8.6328125" customWidth="1" style="55" min="16132" max="16132"/>
    <col width="12.6328125" customWidth="1" style="55" min="16133" max="16133"/>
    <col width="14.6328125" customWidth="1" style="55" min="16134" max="16134"/>
    <col width="11.7265625" customWidth="1" style="55" min="16135" max="16135"/>
    <col width="9" customWidth="1" style="55" min="16136" max="16384"/>
  </cols>
  <sheetData>
    <row r="1" ht="25" customHeight="1">
      <c r="A1" s="171" t="inlineStr">
        <is>
          <t>COMART CORPORATION</t>
        </is>
      </c>
      <c r="G1" s="31" t="n"/>
      <c r="H1" s="3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</row>
    <row r="2" ht="17" customHeight="1">
      <c r="A2" s="116" t="inlineStr">
        <is>
          <t>TEL:+886-2-89111133   FAX:+886-2-86653056</t>
        </is>
      </c>
      <c r="G2" s="31" t="n"/>
      <c r="H2" s="3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</row>
    <row r="3" ht="17" customHeight="1">
      <c r="A3" s="116" t="inlineStr">
        <is>
          <t>3F., No.12, Lane 235, Baociao Rd., Sindian Dist, New Taipei City 23145, Taiwan, R.O.C.</t>
        </is>
      </c>
      <c r="G3" s="31" t="n"/>
      <c r="H3" s="3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n"/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</row>
    <row r="4" ht="15" customHeight="1">
      <c r="A4" s="117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  <c r="CN4" s="1" t="n"/>
      <c r="CO4" s="1" t="n"/>
      <c r="CP4" s="1" t="n"/>
      <c r="CQ4" s="1" t="n"/>
      <c r="CR4" s="1" t="n"/>
      <c r="CS4" s="1" t="n"/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n"/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n"/>
      <c r="EU4" s="1" t="n"/>
      <c r="EV4" s="1" t="n"/>
      <c r="EW4" s="1" t="n"/>
      <c r="EX4" s="1" t="n"/>
      <c r="EY4" s="1" t="n"/>
      <c r="EZ4" s="1" t="n"/>
      <c r="FA4" s="1" t="n"/>
      <c r="FB4" s="1" t="n"/>
      <c r="FC4" s="1" t="n"/>
      <c r="FD4" s="1" t="n"/>
      <c r="FE4" s="1" t="n"/>
      <c r="FF4" s="1" t="n"/>
      <c r="FG4" s="1" t="n"/>
      <c r="FH4" s="1" t="n"/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n"/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n"/>
      <c r="GP4" s="1" t="n"/>
      <c r="GQ4" s="1" t="n"/>
      <c r="GR4" s="1" t="n"/>
      <c r="GS4" s="1" t="n"/>
      <c r="GT4" s="1" t="n"/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n"/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n"/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</row>
    <row r="5" ht="22.5" customHeight="1">
      <c r="A5" s="118" t="inlineStr">
        <is>
          <t xml:space="preserve"> INVOICE</t>
        </is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  <c r="CV5" s="1" t="n"/>
      <c r="CW5" s="1" t="n"/>
      <c r="CX5" s="1" t="n"/>
      <c r="CY5" s="1" t="n"/>
      <c r="CZ5" s="1" t="n"/>
      <c r="DA5" s="1" t="n"/>
      <c r="DB5" s="1" t="n"/>
      <c r="DC5" s="1" t="n"/>
      <c r="DD5" s="1" t="n"/>
      <c r="DE5" s="1" t="n"/>
      <c r="DF5" s="1" t="n"/>
      <c r="DG5" s="1" t="n"/>
      <c r="DH5" s="1" t="n"/>
      <c r="DI5" s="1" t="n"/>
      <c r="DJ5" s="1" t="n"/>
      <c r="DK5" s="1" t="n"/>
      <c r="DL5" s="1" t="n"/>
      <c r="DM5" s="1" t="n"/>
      <c r="DN5" s="1" t="n"/>
      <c r="DO5" s="1" t="n"/>
      <c r="DP5" s="1" t="n"/>
      <c r="DQ5" s="1" t="n"/>
      <c r="DR5" s="1" t="n"/>
      <c r="DS5" s="1" t="n"/>
      <c r="DT5" s="1" t="n"/>
      <c r="DU5" s="1" t="n"/>
      <c r="DV5" s="1" t="n"/>
      <c r="DW5" s="1" t="n"/>
      <c r="DX5" s="1" t="n"/>
      <c r="DY5" s="1" t="n"/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n"/>
      <c r="EL5" s="1" t="n"/>
      <c r="EM5" s="1" t="n"/>
      <c r="EN5" s="1" t="n"/>
      <c r="EO5" s="1" t="n"/>
      <c r="EP5" s="1" t="n"/>
      <c r="EQ5" s="1" t="n"/>
      <c r="ER5" s="1" t="n"/>
      <c r="ES5" s="1" t="n"/>
      <c r="ET5" s="1" t="n"/>
      <c r="EU5" s="1" t="n"/>
      <c r="EV5" s="1" t="n"/>
      <c r="EW5" s="1" t="n"/>
      <c r="EX5" s="1" t="n"/>
      <c r="EY5" s="1" t="n"/>
      <c r="EZ5" s="1" t="n"/>
      <c r="FA5" s="1" t="n"/>
      <c r="FB5" s="1" t="n"/>
      <c r="FC5" s="1" t="n"/>
      <c r="FD5" s="1" t="n"/>
      <c r="FE5" s="1" t="n"/>
      <c r="FF5" s="1" t="n"/>
      <c r="FG5" s="1" t="n"/>
      <c r="FH5" s="1" t="n"/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n"/>
      <c r="FS5" s="1" t="n"/>
      <c r="FT5" s="1" t="n"/>
      <c r="FU5" s="1" t="n"/>
      <c r="FV5" s="1" t="n"/>
      <c r="FW5" s="1" t="n"/>
      <c r="FX5" s="1" t="n"/>
      <c r="FY5" s="1" t="n"/>
      <c r="FZ5" s="1" t="n"/>
      <c r="GA5" s="1" t="n"/>
      <c r="GB5" s="1" t="n"/>
      <c r="GC5" s="1" t="n"/>
      <c r="GD5" s="1" t="n"/>
      <c r="GE5" s="1" t="n"/>
      <c r="GF5" s="1" t="n"/>
      <c r="GG5" s="1" t="n"/>
      <c r="GH5" s="1" t="n"/>
      <c r="GI5" s="1" t="n"/>
      <c r="GJ5" s="1" t="n"/>
      <c r="GK5" s="1" t="n"/>
      <c r="GL5" s="1" t="n"/>
      <c r="GM5" s="1" t="n"/>
      <c r="GN5" s="1" t="n"/>
      <c r="GO5" s="1" t="n"/>
      <c r="GP5" s="1" t="n"/>
      <c r="GQ5" s="1" t="n"/>
      <c r="GR5" s="1" t="n"/>
      <c r="GS5" s="1" t="n"/>
      <c r="GT5" s="1" t="n"/>
      <c r="GU5" s="1" t="n"/>
      <c r="GV5" s="1" t="n"/>
      <c r="GW5" s="1" t="n"/>
      <c r="GX5" s="1" t="n"/>
      <c r="GY5" s="1" t="n"/>
      <c r="GZ5" s="1" t="n"/>
      <c r="HA5" s="1" t="n"/>
      <c r="HB5" s="1" t="n"/>
      <c r="HC5" s="1" t="n"/>
      <c r="HD5" s="1" t="n"/>
      <c r="HE5" s="1" t="n"/>
      <c r="HF5" s="1" t="n"/>
      <c r="HG5" s="1" t="n"/>
      <c r="HH5" s="1" t="n"/>
      <c r="HI5" s="1" t="n"/>
      <c r="HJ5" s="1" t="n"/>
      <c r="HK5" s="1" t="n"/>
      <c r="HL5" s="1" t="n"/>
      <c r="HM5" s="1" t="n"/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n"/>
      <c r="HZ5" s="1" t="n"/>
      <c r="IA5" s="1" t="n"/>
      <c r="IB5" s="1" t="n"/>
      <c r="IC5" s="1" t="n"/>
      <c r="ID5" s="1" t="n"/>
      <c r="IE5" s="1" t="n"/>
      <c r="IF5" s="1" t="n"/>
      <c r="IG5" s="1" t="n"/>
      <c r="IH5" s="1" t="n"/>
      <c r="II5" s="1" t="n"/>
      <c r="IJ5" s="1" t="n"/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n"/>
      <c r="BU6" s="1" t="n"/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  <c r="CJ6" s="1" t="n"/>
      <c r="CK6" s="1" t="n"/>
      <c r="CL6" s="1" t="n"/>
      <c r="CM6" s="1" t="n"/>
      <c r="CN6" s="1" t="n"/>
      <c r="CO6" s="1" t="n"/>
      <c r="CP6" s="1" t="n"/>
      <c r="CQ6" s="1" t="n"/>
      <c r="CR6" s="1" t="n"/>
      <c r="CS6" s="1" t="n"/>
      <c r="CT6" s="1" t="n"/>
      <c r="CU6" s="1" t="n"/>
      <c r="CV6" s="1" t="n"/>
      <c r="CW6" s="1" t="n"/>
      <c r="CX6" s="1" t="n"/>
      <c r="CY6" s="1" t="n"/>
      <c r="CZ6" s="1" t="n"/>
      <c r="DA6" s="1" t="n"/>
      <c r="DB6" s="1" t="n"/>
      <c r="DC6" s="1" t="n"/>
      <c r="DD6" s="1" t="n"/>
      <c r="DE6" s="1" t="n"/>
      <c r="DF6" s="1" t="n"/>
      <c r="DG6" s="1" t="n"/>
      <c r="DH6" s="1" t="n"/>
      <c r="DI6" s="1" t="n"/>
      <c r="DJ6" s="1" t="n"/>
      <c r="DK6" s="1" t="n"/>
      <c r="DL6" s="1" t="n"/>
      <c r="DM6" s="1" t="n"/>
      <c r="DN6" s="1" t="n"/>
      <c r="DO6" s="1" t="n"/>
      <c r="DP6" s="1" t="n"/>
      <c r="DQ6" s="1" t="n"/>
      <c r="DR6" s="1" t="n"/>
      <c r="DS6" s="1" t="n"/>
      <c r="DT6" s="1" t="n"/>
      <c r="DU6" s="1" t="n"/>
      <c r="DV6" s="1" t="n"/>
      <c r="DW6" s="1" t="n"/>
      <c r="DX6" s="1" t="n"/>
      <c r="DY6" s="1" t="n"/>
      <c r="DZ6" s="1" t="n"/>
      <c r="EA6" s="1" t="n"/>
      <c r="EB6" s="1" t="n"/>
      <c r="EC6" s="1" t="n"/>
      <c r="ED6" s="1" t="n"/>
      <c r="EE6" s="1" t="n"/>
      <c r="EF6" s="1" t="n"/>
      <c r="EG6" s="1" t="n"/>
      <c r="EH6" s="1" t="n"/>
      <c r="EI6" s="1" t="n"/>
      <c r="EJ6" s="1" t="n"/>
      <c r="EK6" s="1" t="n"/>
      <c r="EL6" s="1" t="n"/>
      <c r="EM6" s="1" t="n"/>
      <c r="EN6" s="1" t="n"/>
      <c r="EO6" s="1" t="n"/>
      <c r="EP6" s="1" t="n"/>
      <c r="EQ6" s="1" t="n"/>
      <c r="ER6" s="1" t="n"/>
      <c r="ES6" s="1" t="n"/>
      <c r="ET6" s="1" t="n"/>
      <c r="EU6" s="1" t="n"/>
      <c r="EV6" s="1" t="n"/>
      <c r="EW6" s="1" t="n"/>
      <c r="EX6" s="1" t="n"/>
      <c r="EY6" s="1" t="n"/>
      <c r="EZ6" s="1" t="n"/>
      <c r="FA6" s="1" t="n"/>
      <c r="FB6" s="1" t="n"/>
      <c r="FC6" s="1" t="n"/>
      <c r="FD6" s="1" t="n"/>
      <c r="FE6" s="1" t="n"/>
      <c r="FF6" s="1" t="n"/>
      <c r="FG6" s="1" t="n"/>
      <c r="FH6" s="1" t="n"/>
      <c r="FI6" s="1" t="n"/>
      <c r="FJ6" s="1" t="n"/>
      <c r="FK6" s="1" t="n"/>
      <c r="FL6" s="1" t="n"/>
      <c r="FM6" s="1" t="n"/>
      <c r="FN6" s="1" t="n"/>
      <c r="FO6" s="1" t="n"/>
      <c r="FP6" s="1" t="n"/>
      <c r="FQ6" s="1" t="n"/>
      <c r="FR6" s="1" t="n"/>
      <c r="FS6" s="1" t="n"/>
      <c r="FT6" s="1" t="n"/>
      <c r="FU6" s="1" t="n"/>
      <c r="FV6" s="1" t="n"/>
      <c r="FW6" s="1" t="n"/>
      <c r="FX6" s="1" t="n"/>
      <c r="FY6" s="1" t="n"/>
      <c r="FZ6" s="1" t="n"/>
      <c r="GA6" s="1" t="n"/>
      <c r="GB6" s="1" t="n"/>
      <c r="GC6" s="1" t="n"/>
      <c r="GD6" s="1" t="n"/>
      <c r="GE6" s="1" t="n"/>
      <c r="GF6" s="1" t="n"/>
      <c r="GG6" s="1" t="n"/>
      <c r="GH6" s="1" t="n"/>
      <c r="GI6" s="1" t="n"/>
      <c r="GJ6" s="1" t="n"/>
      <c r="GK6" s="1" t="n"/>
      <c r="GL6" s="1" t="n"/>
      <c r="GM6" s="1" t="n"/>
      <c r="GN6" s="1" t="n"/>
      <c r="GO6" s="1" t="n"/>
      <c r="GP6" s="1" t="n"/>
      <c r="GQ6" s="1" t="n"/>
      <c r="GR6" s="1" t="n"/>
      <c r="GS6" s="1" t="n"/>
      <c r="GT6" s="1" t="n"/>
      <c r="GU6" s="1" t="n"/>
      <c r="GV6" s="1" t="n"/>
      <c r="GW6" s="1" t="n"/>
      <c r="GX6" s="1" t="n"/>
      <c r="GY6" s="1" t="n"/>
      <c r="GZ6" s="1" t="n"/>
      <c r="HA6" s="1" t="n"/>
      <c r="HB6" s="1" t="n"/>
      <c r="HC6" s="1" t="n"/>
      <c r="HD6" s="1" t="n"/>
      <c r="HE6" s="1" t="n"/>
      <c r="HF6" s="1" t="n"/>
      <c r="HG6" s="1" t="n"/>
      <c r="HH6" s="1" t="n"/>
      <c r="HI6" s="1" t="n"/>
      <c r="HJ6" s="1" t="n"/>
      <c r="HK6" s="1" t="n"/>
      <c r="HL6" s="1" t="n"/>
      <c r="HM6" s="1" t="n"/>
      <c r="HN6" s="1" t="n"/>
      <c r="HO6" s="1" t="n"/>
      <c r="HP6" s="1" t="n"/>
      <c r="HQ6" s="1" t="n"/>
      <c r="HR6" s="1" t="n"/>
      <c r="HS6" s="1" t="n"/>
      <c r="HT6" s="1" t="n"/>
      <c r="HU6" s="1" t="n"/>
      <c r="HV6" s="1" t="n"/>
      <c r="HW6" s="1" t="n"/>
      <c r="HX6" s="1" t="n"/>
      <c r="HY6" s="1" t="n"/>
      <c r="HZ6" s="1" t="n"/>
      <c r="IA6" s="1" t="n"/>
      <c r="IB6" s="1" t="n"/>
      <c r="IC6" s="1" t="n"/>
      <c r="ID6" s="1" t="n"/>
      <c r="IE6" s="1" t="n"/>
      <c r="IF6" s="1" t="n"/>
      <c r="IG6" s="1" t="n"/>
      <c r="IH6" s="1" t="n"/>
      <c r="II6" s="1" t="n"/>
      <c r="IJ6" s="1" t="n"/>
      <c r="IK6" s="1" t="n"/>
      <c r="IL6" s="1" t="n"/>
      <c r="IM6" s="1" t="n"/>
      <c r="IN6" s="1" t="n"/>
      <c r="IO6" s="1" t="n"/>
      <c r="IP6" s="1" t="n"/>
      <c r="IQ6" s="1" t="n"/>
      <c r="IR6" s="1" t="n"/>
      <c r="IS6" s="1" t="n"/>
      <c r="IT6" s="1" t="n"/>
      <c r="IU6" s="1" t="n"/>
      <c r="IV6" s="1" t="n"/>
    </row>
    <row r="7">
      <c r="A7" s="1" t="inlineStr">
        <is>
          <t>CONSIGNEE: SCOSCHE INDUSTRIES, INC. ALABAMA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n"/>
      <c r="BP7" s="1" t="n"/>
      <c r="BQ7" s="1" t="n"/>
      <c r="BR7" s="1" t="n"/>
      <c r="BS7" s="1" t="n"/>
      <c r="BT7" s="1" t="n"/>
      <c r="BU7" s="1" t="n"/>
      <c r="BV7" s="1" t="n"/>
      <c r="BW7" s="1" t="n"/>
      <c r="BX7" s="1" t="n"/>
      <c r="BY7" s="1" t="n"/>
      <c r="BZ7" s="1" t="n"/>
      <c r="CA7" s="1" t="n"/>
      <c r="CB7" s="1" t="n"/>
      <c r="CC7" s="1" t="n"/>
      <c r="CD7" s="1" t="n"/>
      <c r="CE7" s="1" t="n"/>
      <c r="CF7" s="1" t="n"/>
      <c r="CG7" s="1" t="n"/>
      <c r="CH7" s="1" t="n"/>
      <c r="CI7" s="1" t="n"/>
      <c r="CJ7" s="1" t="n"/>
      <c r="CK7" s="1" t="n"/>
      <c r="CL7" s="1" t="n"/>
      <c r="CM7" s="1" t="n"/>
      <c r="CN7" s="1" t="n"/>
      <c r="CO7" s="1" t="n"/>
      <c r="CP7" s="1" t="n"/>
      <c r="CQ7" s="1" t="n"/>
      <c r="CR7" s="1" t="n"/>
      <c r="CS7" s="1" t="n"/>
      <c r="CT7" s="1" t="n"/>
      <c r="CU7" s="1" t="n"/>
      <c r="CV7" s="1" t="n"/>
      <c r="CW7" s="1" t="n"/>
      <c r="CX7" s="1" t="n"/>
      <c r="CY7" s="1" t="n"/>
      <c r="CZ7" s="1" t="n"/>
      <c r="DA7" s="1" t="n"/>
      <c r="DB7" s="1" t="n"/>
      <c r="DC7" s="1" t="n"/>
      <c r="DD7" s="1" t="n"/>
      <c r="DE7" s="1" t="n"/>
      <c r="DF7" s="1" t="n"/>
      <c r="DG7" s="1" t="n"/>
      <c r="DH7" s="1" t="n"/>
      <c r="DI7" s="1" t="n"/>
      <c r="DJ7" s="1" t="n"/>
      <c r="DK7" s="1" t="n"/>
      <c r="DL7" s="1" t="n"/>
      <c r="DM7" s="1" t="n"/>
      <c r="DN7" s="1" t="n"/>
      <c r="DO7" s="1" t="n"/>
      <c r="DP7" s="1" t="n"/>
      <c r="DQ7" s="1" t="n"/>
      <c r="DR7" s="1" t="n"/>
      <c r="DS7" s="1" t="n"/>
      <c r="DT7" s="1" t="n"/>
      <c r="DU7" s="1" t="n"/>
      <c r="DV7" s="1" t="n"/>
      <c r="DW7" s="1" t="n"/>
      <c r="DX7" s="1" t="n"/>
      <c r="DY7" s="1" t="n"/>
      <c r="DZ7" s="1" t="n"/>
      <c r="EA7" s="1" t="n"/>
      <c r="EB7" s="1" t="n"/>
      <c r="EC7" s="1" t="n"/>
      <c r="ED7" s="1" t="n"/>
      <c r="EE7" s="1" t="n"/>
      <c r="EF7" s="1" t="n"/>
      <c r="EG7" s="1" t="n"/>
      <c r="EH7" s="1" t="n"/>
      <c r="EI7" s="1" t="n"/>
      <c r="EJ7" s="1" t="n"/>
      <c r="EK7" s="1" t="n"/>
      <c r="EL7" s="1" t="n"/>
      <c r="EM7" s="1" t="n"/>
      <c r="EN7" s="1" t="n"/>
      <c r="EO7" s="1" t="n"/>
      <c r="EP7" s="1" t="n"/>
      <c r="EQ7" s="1" t="n"/>
      <c r="ER7" s="1" t="n"/>
      <c r="ES7" s="1" t="n"/>
      <c r="ET7" s="1" t="n"/>
      <c r="EU7" s="1" t="n"/>
      <c r="EV7" s="1" t="n"/>
      <c r="EW7" s="1" t="n"/>
      <c r="EX7" s="1" t="n"/>
      <c r="EY7" s="1" t="n"/>
      <c r="EZ7" s="1" t="n"/>
      <c r="FA7" s="1" t="n"/>
      <c r="FB7" s="1" t="n"/>
      <c r="FC7" s="1" t="n"/>
      <c r="FD7" s="1" t="n"/>
      <c r="FE7" s="1" t="n"/>
      <c r="FF7" s="1" t="n"/>
      <c r="FG7" s="1" t="n"/>
      <c r="FH7" s="1" t="n"/>
      <c r="FI7" s="1" t="n"/>
      <c r="FJ7" s="1" t="n"/>
      <c r="FK7" s="1" t="n"/>
      <c r="FL7" s="1" t="n"/>
      <c r="FM7" s="1" t="n"/>
      <c r="FN7" s="1" t="n"/>
      <c r="FO7" s="1" t="n"/>
      <c r="FP7" s="1" t="n"/>
      <c r="FQ7" s="1" t="n"/>
      <c r="FR7" s="1" t="n"/>
      <c r="FS7" s="1" t="n"/>
      <c r="FT7" s="1" t="n"/>
      <c r="FU7" s="1" t="n"/>
      <c r="FV7" s="1" t="n"/>
      <c r="FW7" s="1" t="n"/>
      <c r="FX7" s="1" t="n"/>
      <c r="FY7" s="1" t="n"/>
      <c r="FZ7" s="1" t="n"/>
      <c r="GA7" s="1" t="n"/>
      <c r="GB7" s="1" t="n"/>
      <c r="GC7" s="1" t="n"/>
      <c r="GD7" s="1" t="n"/>
      <c r="GE7" s="1" t="n"/>
      <c r="GF7" s="1" t="n"/>
      <c r="GG7" s="1" t="n"/>
      <c r="GH7" s="1" t="n"/>
      <c r="GI7" s="1" t="n"/>
      <c r="GJ7" s="1" t="n"/>
      <c r="GK7" s="1" t="n"/>
      <c r="GL7" s="1" t="n"/>
      <c r="GM7" s="1" t="n"/>
      <c r="GN7" s="1" t="n"/>
      <c r="GO7" s="1" t="n"/>
      <c r="GP7" s="1" t="n"/>
      <c r="GQ7" s="1" t="n"/>
      <c r="GR7" s="1" t="n"/>
      <c r="GS7" s="1" t="n"/>
      <c r="GT7" s="1" t="n"/>
      <c r="GU7" s="1" t="n"/>
      <c r="GV7" s="1" t="n"/>
      <c r="GW7" s="1" t="n"/>
      <c r="GX7" s="1" t="n"/>
      <c r="GY7" s="1" t="n"/>
      <c r="GZ7" s="1" t="n"/>
      <c r="HA7" s="1" t="n"/>
      <c r="HB7" s="1" t="n"/>
      <c r="HC7" s="1" t="n"/>
      <c r="HD7" s="1" t="n"/>
      <c r="HE7" s="1" t="n"/>
      <c r="HF7" s="1" t="n"/>
      <c r="HG7" s="1" t="n"/>
      <c r="HH7" s="1" t="n"/>
      <c r="HI7" s="1" t="n"/>
      <c r="HJ7" s="1" t="n"/>
      <c r="HK7" s="1" t="n"/>
      <c r="HL7" s="1" t="n"/>
      <c r="HM7" s="1" t="n"/>
      <c r="HN7" s="1" t="n"/>
      <c r="HO7" s="1" t="n"/>
      <c r="HP7" s="1" t="n"/>
      <c r="HQ7" s="1" t="n"/>
      <c r="HR7" s="1" t="n"/>
      <c r="HS7" s="1" t="n"/>
      <c r="HT7" s="1" t="n"/>
      <c r="HU7" s="1" t="n"/>
      <c r="HV7" s="1" t="n"/>
      <c r="HW7" s="1" t="n"/>
      <c r="HX7" s="1" t="n"/>
      <c r="HY7" s="1" t="n"/>
      <c r="HZ7" s="1" t="n"/>
      <c r="IA7" s="1" t="n"/>
      <c r="IB7" s="1" t="n"/>
      <c r="IC7" s="1" t="n"/>
      <c r="ID7" s="1" t="n"/>
      <c r="IE7" s="1" t="n"/>
      <c r="IF7" s="1" t="n"/>
      <c r="IG7" s="1" t="n"/>
      <c r="IH7" s="1" t="n"/>
      <c r="II7" s="1" t="n"/>
      <c r="IJ7" s="1" t="n"/>
      <c r="IK7" s="1" t="n"/>
      <c r="IL7" s="1" t="n"/>
      <c r="IM7" s="1" t="n"/>
      <c r="IN7" s="1" t="n"/>
      <c r="IO7" s="1" t="n"/>
      <c r="IP7" s="1" t="n"/>
      <c r="IQ7" s="1" t="n"/>
      <c r="IR7" s="1" t="n"/>
      <c r="IS7" s="1" t="n"/>
      <c r="IT7" s="1" t="n"/>
      <c r="IU7" s="1" t="n"/>
      <c r="IV7" s="1" t="n"/>
    </row>
    <row r="8">
      <c r="A8" s="1" t="inlineStr">
        <is>
          <t>SHIP TO: 188 COMMERCE WAY, SPRUCE PINE, AL 35585-4138 , USA</t>
        </is>
      </c>
      <c r="B8" s="1" t="n"/>
      <c r="C8" s="1" t="n"/>
      <c r="D8" s="1" t="inlineStr">
        <is>
          <t xml:space="preserve">INV: 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  <c r="BF8" s="1" t="n"/>
      <c r="BG8" s="1" t="n"/>
      <c r="BH8" s="1" t="n"/>
      <c r="BI8" s="1" t="n"/>
      <c r="BJ8" s="1" t="n"/>
      <c r="BK8" s="1" t="n"/>
      <c r="BL8" s="1" t="n"/>
      <c r="BM8" s="1" t="n"/>
      <c r="BN8" s="1" t="n"/>
      <c r="BO8" s="1" t="n"/>
      <c r="BP8" s="1" t="n"/>
      <c r="BQ8" s="1" t="n"/>
      <c r="BR8" s="1" t="n"/>
      <c r="BS8" s="1" t="n"/>
      <c r="BT8" s="1" t="n"/>
      <c r="BU8" s="1" t="n"/>
      <c r="BV8" s="1" t="n"/>
      <c r="BW8" s="1" t="n"/>
      <c r="BX8" s="1" t="n"/>
      <c r="BY8" s="1" t="n"/>
      <c r="BZ8" s="1" t="n"/>
      <c r="CA8" s="1" t="n"/>
      <c r="CB8" s="1" t="n"/>
      <c r="CC8" s="1" t="n"/>
      <c r="CD8" s="1" t="n"/>
      <c r="CE8" s="1" t="n"/>
      <c r="CF8" s="1" t="n"/>
      <c r="CG8" s="1" t="n"/>
      <c r="CH8" s="1" t="n"/>
      <c r="CI8" s="1" t="n"/>
      <c r="CJ8" s="1" t="n"/>
      <c r="CK8" s="1" t="n"/>
      <c r="CL8" s="1" t="n"/>
      <c r="CM8" s="1" t="n"/>
      <c r="CN8" s="1" t="n"/>
      <c r="CO8" s="1" t="n"/>
      <c r="CP8" s="1" t="n"/>
      <c r="CQ8" s="1" t="n"/>
      <c r="CR8" s="1" t="n"/>
      <c r="CS8" s="1" t="n"/>
      <c r="CT8" s="1" t="n"/>
      <c r="CU8" s="1" t="n"/>
      <c r="CV8" s="1" t="n"/>
      <c r="CW8" s="1" t="n"/>
      <c r="CX8" s="1" t="n"/>
      <c r="CY8" s="1" t="n"/>
      <c r="CZ8" s="1" t="n"/>
      <c r="DA8" s="1" t="n"/>
      <c r="DB8" s="1" t="n"/>
      <c r="DC8" s="1" t="n"/>
      <c r="DD8" s="1" t="n"/>
      <c r="DE8" s="1" t="n"/>
      <c r="DF8" s="1" t="n"/>
      <c r="DG8" s="1" t="n"/>
      <c r="DH8" s="1" t="n"/>
      <c r="DI8" s="1" t="n"/>
      <c r="DJ8" s="1" t="n"/>
      <c r="DK8" s="1" t="n"/>
      <c r="DL8" s="1" t="n"/>
      <c r="DM8" s="1" t="n"/>
      <c r="DN8" s="1" t="n"/>
      <c r="DO8" s="1" t="n"/>
      <c r="DP8" s="1" t="n"/>
      <c r="DQ8" s="1" t="n"/>
      <c r="DR8" s="1" t="n"/>
      <c r="DS8" s="1" t="n"/>
      <c r="DT8" s="1" t="n"/>
      <c r="DU8" s="1" t="n"/>
      <c r="DV8" s="1" t="n"/>
      <c r="DW8" s="1" t="n"/>
      <c r="DX8" s="1" t="n"/>
      <c r="DY8" s="1" t="n"/>
      <c r="DZ8" s="1" t="n"/>
      <c r="EA8" s="1" t="n"/>
      <c r="EB8" s="1" t="n"/>
      <c r="EC8" s="1" t="n"/>
      <c r="ED8" s="1" t="n"/>
      <c r="EE8" s="1" t="n"/>
      <c r="EF8" s="1" t="n"/>
      <c r="EG8" s="1" t="n"/>
      <c r="EH8" s="1" t="n"/>
      <c r="EI8" s="1" t="n"/>
      <c r="EJ8" s="1" t="n"/>
      <c r="EK8" s="1" t="n"/>
      <c r="EL8" s="1" t="n"/>
      <c r="EM8" s="1" t="n"/>
      <c r="EN8" s="1" t="n"/>
      <c r="EO8" s="1" t="n"/>
      <c r="EP8" s="1" t="n"/>
      <c r="EQ8" s="1" t="n"/>
      <c r="ER8" s="1" t="n"/>
      <c r="ES8" s="1" t="n"/>
      <c r="ET8" s="1" t="n"/>
      <c r="EU8" s="1" t="n"/>
      <c r="EV8" s="1" t="n"/>
      <c r="EW8" s="1" t="n"/>
      <c r="EX8" s="1" t="n"/>
      <c r="EY8" s="1" t="n"/>
      <c r="EZ8" s="1" t="n"/>
      <c r="FA8" s="1" t="n"/>
      <c r="FB8" s="1" t="n"/>
      <c r="FC8" s="1" t="n"/>
      <c r="FD8" s="1" t="n"/>
      <c r="FE8" s="1" t="n"/>
      <c r="FF8" s="1" t="n"/>
      <c r="FG8" s="1" t="n"/>
      <c r="FH8" s="1" t="n"/>
      <c r="FI8" s="1" t="n"/>
      <c r="FJ8" s="1" t="n"/>
      <c r="FK8" s="1" t="n"/>
      <c r="FL8" s="1" t="n"/>
      <c r="FM8" s="1" t="n"/>
      <c r="FN8" s="1" t="n"/>
      <c r="FO8" s="1" t="n"/>
      <c r="FP8" s="1" t="n"/>
      <c r="FQ8" s="1" t="n"/>
      <c r="FR8" s="1" t="n"/>
      <c r="FS8" s="1" t="n"/>
      <c r="FT8" s="1" t="n"/>
      <c r="FU8" s="1" t="n"/>
      <c r="FV8" s="1" t="n"/>
      <c r="FW8" s="1" t="n"/>
      <c r="FX8" s="1" t="n"/>
      <c r="FY8" s="1" t="n"/>
      <c r="FZ8" s="1" t="n"/>
      <c r="GA8" s="1" t="n"/>
      <c r="GB8" s="1" t="n"/>
      <c r="GC8" s="1" t="n"/>
      <c r="GD8" s="1" t="n"/>
      <c r="GE8" s="1" t="n"/>
      <c r="GF8" s="1" t="n"/>
      <c r="GG8" s="1" t="n"/>
      <c r="GH8" s="1" t="n"/>
      <c r="GI8" s="1" t="n"/>
      <c r="GJ8" s="1" t="n"/>
      <c r="GK8" s="1" t="n"/>
      <c r="GL8" s="1" t="n"/>
      <c r="GM8" s="1" t="n"/>
      <c r="GN8" s="1" t="n"/>
      <c r="GO8" s="1" t="n"/>
      <c r="GP8" s="1" t="n"/>
      <c r="GQ8" s="1" t="n"/>
      <c r="GR8" s="1" t="n"/>
      <c r="GS8" s="1" t="n"/>
      <c r="GT8" s="1" t="n"/>
      <c r="GU8" s="1" t="n"/>
      <c r="GV8" s="1" t="n"/>
      <c r="GW8" s="1" t="n"/>
      <c r="GX8" s="1" t="n"/>
      <c r="GY8" s="1" t="n"/>
      <c r="GZ8" s="1" t="n"/>
      <c r="HA8" s="1" t="n"/>
      <c r="HB8" s="1" t="n"/>
      <c r="HC8" s="1" t="n"/>
      <c r="HD8" s="1" t="n"/>
      <c r="HE8" s="1" t="n"/>
      <c r="HF8" s="1" t="n"/>
      <c r="HG8" s="1" t="n"/>
      <c r="HH8" s="1" t="n"/>
      <c r="HI8" s="1" t="n"/>
      <c r="HJ8" s="1" t="n"/>
      <c r="HK8" s="1" t="n"/>
      <c r="HL8" s="1" t="n"/>
      <c r="HM8" s="1" t="n"/>
      <c r="HN8" s="1" t="n"/>
      <c r="HO8" s="1" t="n"/>
      <c r="HP8" s="1" t="n"/>
      <c r="HQ8" s="1" t="n"/>
      <c r="HR8" s="1" t="n"/>
      <c r="HS8" s="1" t="n"/>
      <c r="HT8" s="1" t="n"/>
      <c r="HU8" s="1" t="n"/>
      <c r="HV8" s="1" t="n"/>
      <c r="HW8" s="1" t="n"/>
      <c r="HX8" s="1" t="n"/>
      <c r="HY8" s="1" t="n"/>
      <c r="HZ8" s="1" t="n"/>
      <c r="IA8" s="1" t="n"/>
      <c r="IB8" s="1" t="n"/>
      <c r="IC8" s="1" t="n"/>
      <c r="ID8" s="1" t="n"/>
      <c r="IE8" s="1" t="n"/>
      <c r="IF8" s="1" t="n"/>
      <c r="IG8" s="1" t="n"/>
      <c r="IH8" s="1" t="n"/>
      <c r="II8" s="1" t="n"/>
      <c r="IJ8" s="1" t="n"/>
      <c r="IK8" s="1" t="n"/>
      <c r="IL8" s="1" t="n"/>
      <c r="IM8" s="1" t="n"/>
      <c r="IN8" s="1" t="n"/>
      <c r="IO8" s="1" t="n"/>
      <c r="IP8" s="1" t="n"/>
      <c r="IQ8" s="1" t="n"/>
      <c r="IR8" s="1" t="n"/>
      <c r="IS8" s="1" t="n"/>
      <c r="IT8" s="1" t="n"/>
      <c r="IU8" s="1" t="n"/>
      <c r="IV8" s="1" t="n"/>
    </row>
    <row r="9">
      <c r="A9" s="1" t="inlineStr">
        <is>
          <t>ATTN: CAMILLE LUNA</t>
        </is>
      </c>
      <c r="B9" s="59" t="n"/>
      <c r="C9" s="59" t="n"/>
      <c r="D9" s="1" t="inlineStr">
        <is>
          <t>PO: 153555,153227,154002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  <c r="CJ9" s="1" t="n"/>
      <c r="CK9" s="1" t="n"/>
      <c r="CL9" s="1" t="n"/>
      <c r="CM9" s="1" t="n"/>
      <c r="CN9" s="1" t="n"/>
      <c r="CO9" s="1" t="n"/>
      <c r="CP9" s="1" t="n"/>
      <c r="CQ9" s="1" t="n"/>
      <c r="CR9" s="1" t="n"/>
      <c r="CS9" s="1" t="n"/>
      <c r="CT9" s="1" t="n"/>
      <c r="CU9" s="1" t="n"/>
      <c r="CV9" s="1" t="n"/>
      <c r="CW9" s="1" t="n"/>
      <c r="CX9" s="1" t="n"/>
      <c r="CY9" s="1" t="n"/>
      <c r="CZ9" s="1" t="n"/>
      <c r="DA9" s="1" t="n"/>
      <c r="DB9" s="1" t="n"/>
      <c r="DC9" s="1" t="n"/>
      <c r="DD9" s="1" t="n"/>
      <c r="DE9" s="1" t="n"/>
      <c r="DF9" s="1" t="n"/>
      <c r="DG9" s="1" t="n"/>
      <c r="DH9" s="1" t="n"/>
      <c r="DI9" s="1" t="n"/>
      <c r="DJ9" s="1" t="n"/>
      <c r="DK9" s="1" t="n"/>
      <c r="DL9" s="1" t="n"/>
      <c r="DM9" s="1" t="n"/>
      <c r="DN9" s="1" t="n"/>
      <c r="DO9" s="1" t="n"/>
      <c r="DP9" s="1" t="n"/>
      <c r="DQ9" s="1" t="n"/>
      <c r="DR9" s="1" t="n"/>
      <c r="DS9" s="1" t="n"/>
      <c r="DT9" s="1" t="n"/>
      <c r="DU9" s="1" t="n"/>
      <c r="DV9" s="1" t="n"/>
      <c r="DW9" s="1" t="n"/>
      <c r="DX9" s="1" t="n"/>
      <c r="DY9" s="1" t="n"/>
      <c r="DZ9" s="1" t="n"/>
      <c r="EA9" s="1" t="n"/>
      <c r="EB9" s="1" t="n"/>
      <c r="EC9" s="1" t="n"/>
      <c r="ED9" s="1" t="n"/>
      <c r="EE9" s="1" t="n"/>
      <c r="EF9" s="1" t="n"/>
      <c r="EG9" s="1" t="n"/>
      <c r="EH9" s="1" t="n"/>
      <c r="EI9" s="1" t="n"/>
      <c r="EJ9" s="1" t="n"/>
      <c r="EK9" s="1" t="n"/>
      <c r="EL9" s="1" t="n"/>
      <c r="EM9" s="1" t="n"/>
      <c r="EN9" s="1" t="n"/>
      <c r="EO9" s="1" t="n"/>
      <c r="EP9" s="1" t="n"/>
      <c r="EQ9" s="1" t="n"/>
      <c r="ER9" s="1" t="n"/>
      <c r="ES9" s="1" t="n"/>
      <c r="ET9" s="1" t="n"/>
      <c r="EU9" s="1" t="n"/>
      <c r="EV9" s="1" t="n"/>
      <c r="EW9" s="1" t="n"/>
      <c r="EX9" s="1" t="n"/>
      <c r="EY9" s="1" t="n"/>
      <c r="EZ9" s="1" t="n"/>
      <c r="FA9" s="1" t="n"/>
      <c r="FB9" s="1" t="n"/>
      <c r="FC9" s="1" t="n"/>
      <c r="FD9" s="1" t="n"/>
      <c r="FE9" s="1" t="n"/>
      <c r="FF9" s="1" t="n"/>
      <c r="FG9" s="1" t="n"/>
      <c r="FH9" s="1" t="n"/>
      <c r="FI9" s="1" t="n"/>
      <c r="FJ9" s="1" t="n"/>
      <c r="FK9" s="1" t="n"/>
      <c r="FL9" s="1" t="n"/>
      <c r="FM9" s="1" t="n"/>
      <c r="FN9" s="1" t="n"/>
      <c r="FO9" s="1" t="n"/>
      <c r="FP9" s="1" t="n"/>
      <c r="FQ9" s="1" t="n"/>
      <c r="FR9" s="1" t="n"/>
      <c r="FS9" s="1" t="n"/>
      <c r="FT9" s="1" t="n"/>
      <c r="FU9" s="1" t="n"/>
      <c r="FV9" s="1" t="n"/>
      <c r="FW9" s="1" t="n"/>
      <c r="FX9" s="1" t="n"/>
      <c r="FY9" s="1" t="n"/>
      <c r="FZ9" s="1" t="n"/>
      <c r="GA9" s="1" t="n"/>
      <c r="GB9" s="1" t="n"/>
      <c r="GC9" s="1" t="n"/>
      <c r="GD9" s="1" t="n"/>
      <c r="GE9" s="1" t="n"/>
      <c r="GF9" s="1" t="n"/>
      <c r="GG9" s="1" t="n"/>
      <c r="GH9" s="1" t="n"/>
      <c r="GI9" s="1" t="n"/>
      <c r="GJ9" s="1" t="n"/>
      <c r="GK9" s="1" t="n"/>
      <c r="GL9" s="1" t="n"/>
      <c r="GM9" s="1" t="n"/>
      <c r="GN9" s="1" t="n"/>
      <c r="GO9" s="1" t="n"/>
      <c r="GP9" s="1" t="n"/>
      <c r="GQ9" s="1" t="n"/>
      <c r="GR9" s="1" t="n"/>
      <c r="GS9" s="1" t="n"/>
      <c r="GT9" s="1" t="n"/>
      <c r="GU9" s="1" t="n"/>
      <c r="GV9" s="1" t="n"/>
      <c r="GW9" s="1" t="n"/>
      <c r="GX9" s="1" t="n"/>
      <c r="GY9" s="1" t="n"/>
      <c r="GZ9" s="1" t="n"/>
      <c r="HA9" s="1" t="n"/>
      <c r="HB9" s="1" t="n"/>
      <c r="HC9" s="1" t="n"/>
      <c r="HD9" s="1" t="n"/>
      <c r="HE9" s="1" t="n"/>
      <c r="HF9" s="1" t="n"/>
      <c r="HG9" s="1" t="n"/>
      <c r="HH9" s="1" t="n"/>
      <c r="HI9" s="1" t="n"/>
      <c r="HJ9" s="1" t="n"/>
      <c r="HK9" s="1" t="n"/>
      <c r="HL9" s="1" t="n"/>
      <c r="HM9" s="1" t="n"/>
      <c r="HN9" s="1" t="n"/>
      <c r="HO9" s="1" t="n"/>
      <c r="HP9" s="1" t="n"/>
      <c r="HQ9" s="1" t="n"/>
      <c r="HR9" s="1" t="n"/>
      <c r="HS9" s="1" t="n"/>
      <c r="HT9" s="1" t="n"/>
      <c r="HU9" s="1" t="n"/>
      <c r="HV9" s="1" t="n"/>
      <c r="HW9" s="1" t="n"/>
      <c r="HX9" s="1" t="n"/>
      <c r="HY9" s="1" t="n"/>
      <c r="HZ9" s="1" t="n"/>
      <c r="IA9" s="1" t="n"/>
      <c r="IB9" s="1" t="n"/>
      <c r="IC9" s="1" t="n"/>
      <c r="ID9" s="1" t="n"/>
      <c r="IE9" s="1" t="n"/>
      <c r="IF9" s="1" t="n"/>
      <c r="IG9" s="1" t="n"/>
      <c r="IH9" s="1" t="n"/>
      <c r="II9" s="1" t="n"/>
      <c r="IJ9" s="1" t="n"/>
      <c r="IK9" s="1" t="n"/>
      <c r="IL9" s="1" t="n"/>
      <c r="IM9" s="1" t="n"/>
      <c r="IN9" s="1" t="n"/>
      <c r="IO9" s="1" t="n"/>
      <c r="IP9" s="1" t="n"/>
      <c r="IQ9" s="1" t="n"/>
      <c r="IR9" s="1" t="n"/>
      <c r="IS9" s="1" t="n"/>
      <c r="IT9" s="1" t="n"/>
      <c r="IU9" s="1" t="n"/>
      <c r="IV9" s="1" t="n"/>
    </row>
    <row r="10">
      <c r="A10" s="1" t="inlineStr">
        <is>
          <t>TEL: 805-486-4450 EXT. 193 FAX: 805 486 9996</t>
        </is>
      </c>
      <c r="B10" s="59" t="n"/>
      <c r="C10" s="59" t="n"/>
      <c r="D10" s="1" t="inlineStr">
        <is>
          <t>PRINT AT: 21 DEC 2021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  <c r="AY10" s="1" t="n"/>
      <c r="AZ10" s="1" t="n"/>
      <c r="BA10" s="1" t="n"/>
      <c r="BB10" s="1" t="n"/>
      <c r="BC10" s="1" t="n"/>
      <c r="BD10" s="1" t="n"/>
      <c r="BE10" s="1" t="n"/>
      <c r="BF10" s="1" t="n"/>
      <c r="BG10" s="1" t="n"/>
      <c r="BH10" s="1" t="n"/>
      <c r="BI10" s="1" t="n"/>
      <c r="BJ10" s="1" t="n"/>
      <c r="BK10" s="1" t="n"/>
      <c r="BL10" s="1" t="n"/>
      <c r="BM10" s="1" t="n"/>
      <c r="BN10" s="1" t="n"/>
      <c r="BO10" s="1" t="n"/>
      <c r="BP10" s="1" t="n"/>
      <c r="BQ10" s="1" t="n"/>
      <c r="BR10" s="1" t="n"/>
      <c r="BS10" s="1" t="n"/>
      <c r="BT10" s="1" t="n"/>
      <c r="BU10" s="1" t="n"/>
      <c r="BV10" s="1" t="n"/>
      <c r="BW10" s="1" t="n"/>
      <c r="BX10" s="1" t="n"/>
      <c r="BY10" s="1" t="n"/>
      <c r="BZ10" s="1" t="n"/>
      <c r="CA10" s="1" t="n"/>
      <c r="CB10" s="1" t="n"/>
      <c r="CC10" s="1" t="n"/>
      <c r="CD10" s="1" t="n"/>
      <c r="CE10" s="1" t="n"/>
      <c r="CF10" s="1" t="n"/>
      <c r="CG10" s="1" t="n"/>
      <c r="CH10" s="1" t="n"/>
      <c r="CI10" s="1" t="n"/>
      <c r="CJ10" s="1" t="n"/>
      <c r="CK10" s="1" t="n"/>
      <c r="CL10" s="1" t="n"/>
      <c r="CM10" s="1" t="n"/>
      <c r="CN10" s="1" t="n"/>
      <c r="CO10" s="1" t="n"/>
      <c r="CP10" s="1" t="n"/>
      <c r="CQ10" s="1" t="n"/>
      <c r="CR10" s="1" t="n"/>
      <c r="CS10" s="1" t="n"/>
      <c r="CT10" s="1" t="n"/>
      <c r="CU10" s="1" t="n"/>
      <c r="CV10" s="1" t="n"/>
      <c r="CW10" s="1" t="n"/>
      <c r="CX10" s="1" t="n"/>
      <c r="CY10" s="1" t="n"/>
      <c r="CZ10" s="1" t="n"/>
      <c r="DA10" s="1" t="n"/>
      <c r="DB10" s="1" t="n"/>
      <c r="DC10" s="1" t="n"/>
      <c r="DD10" s="1" t="n"/>
      <c r="DE10" s="1" t="n"/>
      <c r="DF10" s="1" t="n"/>
      <c r="DG10" s="1" t="n"/>
      <c r="DH10" s="1" t="n"/>
      <c r="DI10" s="1" t="n"/>
      <c r="DJ10" s="1" t="n"/>
      <c r="DK10" s="1" t="n"/>
      <c r="DL10" s="1" t="n"/>
      <c r="DM10" s="1" t="n"/>
      <c r="DN10" s="1" t="n"/>
      <c r="DO10" s="1" t="n"/>
      <c r="DP10" s="1" t="n"/>
      <c r="DQ10" s="1" t="n"/>
      <c r="DR10" s="1" t="n"/>
      <c r="DS10" s="1" t="n"/>
      <c r="DT10" s="1" t="n"/>
      <c r="DU10" s="1" t="n"/>
      <c r="DV10" s="1" t="n"/>
      <c r="DW10" s="1" t="n"/>
      <c r="DX10" s="1" t="n"/>
      <c r="DY10" s="1" t="n"/>
      <c r="DZ10" s="1" t="n"/>
      <c r="EA10" s="1" t="n"/>
      <c r="EB10" s="1" t="n"/>
      <c r="EC10" s="1" t="n"/>
      <c r="ED10" s="1" t="n"/>
      <c r="EE10" s="1" t="n"/>
      <c r="EF10" s="1" t="n"/>
      <c r="EG10" s="1" t="n"/>
      <c r="EH10" s="1" t="n"/>
      <c r="EI10" s="1" t="n"/>
      <c r="EJ10" s="1" t="n"/>
      <c r="EK10" s="1" t="n"/>
      <c r="EL10" s="1" t="n"/>
      <c r="EM10" s="1" t="n"/>
      <c r="EN10" s="1" t="n"/>
      <c r="EO10" s="1" t="n"/>
      <c r="EP10" s="1" t="n"/>
      <c r="EQ10" s="1" t="n"/>
      <c r="ER10" s="1" t="n"/>
      <c r="ES10" s="1" t="n"/>
      <c r="ET10" s="1" t="n"/>
      <c r="EU10" s="1" t="n"/>
      <c r="EV10" s="1" t="n"/>
      <c r="EW10" s="1" t="n"/>
      <c r="EX10" s="1" t="n"/>
      <c r="EY10" s="1" t="n"/>
      <c r="EZ10" s="1" t="n"/>
      <c r="FA10" s="1" t="n"/>
      <c r="FB10" s="1" t="n"/>
      <c r="FC10" s="1" t="n"/>
      <c r="FD10" s="1" t="n"/>
      <c r="FE10" s="1" t="n"/>
      <c r="FF10" s="1" t="n"/>
      <c r="FG10" s="1" t="n"/>
      <c r="FH10" s="1" t="n"/>
      <c r="FI10" s="1" t="n"/>
      <c r="FJ10" s="1" t="n"/>
      <c r="FK10" s="1" t="n"/>
      <c r="FL10" s="1" t="n"/>
      <c r="FM10" s="1" t="n"/>
      <c r="FN10" s="1" t="n"/>
      <c r="FO10" s="1" t="n"/>
      <c r="FP10" s="1" t="n"/>
      <c r="FQ10" s="1" t="n"/>
      <c r="FR10" s="1" t="n"/>
      <c r="FS10" s="1" t="n"/>
      <c r="FT10" s="1" t="n"/>
      <c r="FU10" s="1" t="n"/>
      <c r="FV10" s="1" t="n"/>
      <c r="FW10" s="1" t="n"/>
      <c r="FX10" s="1" t="n"/>
      <c r="FY10" s="1" t="n"/>
      <c r="FZ10" s="1" t="n"/>
      <c r="GA10" s="1" t="n"/>
      <c r="GB10" s="1" t="n"/>
      <c r="GC10" s="1" t="n"/>
      <c r="GD10" s="1" t="n"/>
      <c r="GE10" s="1" t="n"/>
      <c r="GF10" s="1" t="n"/>
      <c r="GG10" s="1" t="n"/>
      <c r="GH10" s="1" t="n"/>
      <c r="GI10" s="1" t="n"/>
      <c r="GJ10" s="1" t="n"/>
      <c r="GK10" s="1" t="n"/>
      <c r="GL10" s="1" t="n"/>
      <c r="GM10" s="1" t="n"/>
      <c r="GN10" s="1" t="n"/>
      <c r="GO10" s="1" t="n"/>
      <c r="GP10" s="1" t="n"/>
      <c r="GQ10" s="1" t="n"/>
      <c r="GR10" s="1" t="n"/>
      <c r="GS10" s="1" t="n"/>
      <c r="GT10" s="1" t="n"/>
      <c r="GU10" s="1" t="n"/>
      <c r="GV10" s="1" t="n"/>
      <c r="GW10" s="1" t="n"/>
      <c r="GX10" s="1" t="n"/>
      <c r="GY10" s="1" t="n"/>
      <c r="GZ10" s="1" t="n"/>
      <c r="HA10" s="1" t="n"/>
      <c r="HB10" s="1" t="n"/>
      <c r="HC10" s="1" t="n"/>
      <c r="HD10" s="1" t="n"/>
      <c r="HE10" s="1" t="n"/>
      <c r="HF10" s="1" t="n"/>
      <c r="HG10" s="1" t="n"/>
      <c r="HH10" s="1" t="n"/>
      <c r="HI10" s="1" t="n"/>
      <c r="HJ10" s="1" t="n"/>
      <c r="HK10" s="1" t="n"/>
      <c r="HL10" s="1" t="n"/>
      <c r="HM10" s="1" t="n"/>
      <c r="HN10" s="1" t="n"/>
      <c r="HO10" s="1" t="n"/>
      <c r="HP10" s="1" t="n"/>
      <c r="HQ10" s="1" t="n"/>
      <c r="HR10" s="1" t="n"/>
      <c r="HS10" s="1" t="n"/>
      <c r="HT10" s="1" t="n"/>
      <c r="HU10" s="1" t="n"/>
      <c r="HV10" s="1" t="n"/>
      <c r="HW10" s="1" t="n"/>
      <c r="HX10" s="1" t="n"/>
      <c r="HY10" s="1" t="n"/>
      <c r="HZ10" s="1" t="n"/>
      <c r="IA10" s="1" t="n"/>
      <c r="IB10" s="1" t="n"/>
      <c r="IC10" s="1" t="n"/>
      <c r="ID10" s="1" t="n"/>
      <c r="IE10" s="1" t="n"/>
      <c r="IF10" s="1" t="n"/>
      <c r="IG10" s="1" t="n"/>
      <c r="IH10" s="1" t="n"/>
      <c r="II10" s="1" t="n"/>
      <c r="IJ10" s="1" t="n"/>
      <c r="IK10" s="1" t="n"/>
      <c r="IL10" s="1" t="n"/>
      <c r="IM10" s="1" t="n"/>
      <c r="IN10" s="1" t="n"/>
      <c r="IO10" s="1" t="n"/>
      <c r="IP10" s="1" t="n"/>
      <c r="IQ10" s="1" t="n"/>
      <c r="IR10" s="1" t="n"/>
      <c r="IS10" s="1" t="n"/>
      <c r="IT10" s="1" t="n"/>
      <c r="IU10" s="1" t="n"/>
      <c r="IV10" s="1" t="n"/>
    </row>
    <row r="11" ht="14.5" customHeight="1" thickBot="1">
      <c r="A11" s="1" t="inlineStr">
        <is>
          <t>PAYMENT TERM: T/T NET ETD 45DAYS</t>
        </is>
      </c>
      <c r="B11" s="1" t="n"/>
      <c r="C11" s="1" t="n"/>
      <c r="D11" s="1" t="inlineStr">
        <is>
          <t>CURRENCY: USD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/>
      <c r="BG11" s="1" t="n"/>
      <c r="BH11" s="1" t="n"/>
      <c r="BI11" s="1" t="n"/>
      <c r="BJ11" s="1" t="n"/>
      <c r="BK11" s="1" t="n"/>
      <c r="BL11" s="1" t="n"/>
      <c r="BM11" s="1" t="n"/>
      <c r="BN11" s="1" t="n"/>
      <c r="BO11" s="1" t="n"/>
      <c r="BP11" s="1" t="n"/>
      <c r="BQ11" s="1" t="n"/>
      <c r="BR11" s="1" t="n"/>
      <c r="BS11" s="1" t="n"/>
      <c r="BT11" s="1" t="n"/>
      <c r="BU11" s="1" t="n"/>
      <c r="BV11" s="1" t="n"/>
      <c r="BW11" s="1" t="n"/>
      <c r="BX11" s="1" t="n"/>
      <c r="BY11" s="1" t="n"/>
      <c r="BZ11" s="1" t="n"/>
      <c r="CA11" s="1" t="n"/>
      <c r="CB11" s="1" t="n"/>
      <c r="CC11" s="1" t="n"/>
      <c r="CD11" s="1" t="n"/>
      <c r="CE11" s="1" t="n"/>
      <c r="CF11" s="1" t="n"/>
      <c r="CG11" s="1" t="n"/>
      <c r="CH11" s="1" t="n"/>
      <c r="CI11" s="1" t="n"/>
      <c r="CJ11" s="1" t="n"/>
      <c r="CK11" s="1" t="n"/>
      <c r="CL11" s="1" t="n"/>
      <c r="CM11" s="1" t="n"/>
      <c r="CN11" s="1" t="n"/>
      <c r="CO11" s="1" t="n"/>
      <c r="CP11" s="1" t="n"/>
      <c r="CQ11" s="1" t="n"/>
      <c r="CR11" s="1" t="n"/>
      <c r="CS11" s="1" t="n"/>
      <c r="CT11" s="1" t="n"/>
      <c r="CU11" s="1" t="n"/>
      <c r="CV11" s="1" t="n"/>
      <c r="CW11" s="1" t="n"/>
      <c r="CX11" s="1" t="n"/>
      <c r="CY11" s="1" t="n"/>
      <c r="CZ11" s="1" t="n"/>
      <c r="DA11" s="1" t="n"/>
      <c r="DB11" s="1" t="n"/>
      <c r="DC11" s="1" t="n"/>
      <c r="DD11" s="1" t="n"/>
      <c r="DE11" s="1" t="n"/>
      <c r="DF11" s="1" t="n"/>
      <c r="DG11" s="1" t="n"/>
      <c r="DH11" s="1" t="n"/>
      <c r="DI11" s="1" t="n"/>
      <c r="DJ11" s="1" t="n"/>
      <c r="DK11" s="1" t="n"/>
      <c r="DL11" s="1" t="n"/>
      <c r="DM11" s="1" t="n"/>
      <c r="DN11" s="1" t="n"/>
      <c r="DO11" s="1" t="n"/>
      <c r="DP11" s="1" t="n"/>
      <c r="DQ11" s="1" t="n"/>
      <c r="DR11" s="1" t="n"/>
      <c r="DS11" s="1" t="n"/>
      <c r="DT11" s="1" t="n"/>
      <c r="DU11" s="1" t="n"/>
      <c r="DV11" s="1" t="n"/>
      <c r="DW11" s="1" t="n"/>
      <c r="DX11" s="1" t="n"/>
      <c r="DY11" s="1" t="n"/>
      <c r="DZ11" s="1" t="n"/>
      <c r="EA11" s="1" t="n"/>
      <c r="EB11" s="1" t="n"/>
      <c r="EC11" s="1" t="n"/>
      <c r="ED11" s="1" t="n"/>
      <c r="EE11" s="1" t="n"/>
      <c r="EF11" s="1" t="n"/>
      <c r="EG11" s="1" t="n"/>
      <c r="EH11" s="1" t="n"/>
      <c r="EI11" s="1" t="n"/>
      <c r="EJ11" s="1" t="n"/>
      <c r="EK11" s="1" t="n"/>
      <c r="EL11" s="1" t="n"/>
      <c r="EM11" s="1" t="n"/>
      <c r="EN11" s="1" t="n"/>
      <c r="EO11" s="1" t="n"/>
      <c r="EP11" s="1" t="n"/>
      <c r="EQ11" s="1" t="n"/>
      <c r="ER11" s="1" t="n"/>
      <c r="ES11" s="1" t="n"/>
      <c r="ET11" s="1" t="n"/>
      <c r="EU11" s="1" t="n"/>
      <c r="EV11" s="1" t="n"/>
      <c r="EW11" s="1" t="n"/>
      <c r="EX11" s="1" t="n"/>
      <c r="EY11" s="1" t="n"/>
      <c r="EZ11" s="1" t="n"/>
      <c r="FA11" s="1" t="n"/>
      <c r="FB11" s="1" t="n"/>
      <c r="FC11" s="1" t="n"/>
      <c r="FD11" s="1" t="n"/>
      <c r="FE11" s="1" t="n"/>
      <c r="FF11" s="1" t="n"/>
      <c r="FG11" s="1" t="n"/>
      <c r="FH11" s="1" t="n"/>
      <c r="FI11" s="1" t="n"/>
      <c r="FJ11" s="1" t="n"/>
      <c r="FK11" s="1" t="n"/>
      <c r="FL11" s="1" t="n"/>
      <c r="FM11" s="1" t="n"/>
      <c r="FN11" s="1" t="n"/>
      <c r="FO11" s="1" t="n"/>
      <c r="FP11" s="1" t="n"/>
      <c r="FQ11" s="1" t="n"/>
      <c r="FR11" s="1" t="n"/>
      <c r="FS11" s="1" t="n"/>
      <c r="FT11" s="1" t="n"/>
      <c r="FU11" s="1" t="n"/>
      <c r="FV11" s="1" t="n"/>
      <c r="FW11" s="1" t="n"/>
      <c r="FX11" s="1" t="n"/>
      <c r="FY11" s="1" t="n"/>
      <c r="FZ11" s="1" t="n"/>
      <c r="GA11" s="1" t="n"/>
      <c r="GB11" s="1" t="n"/>
      <c r="GC11" s="1" t="n"/>
      <c r="GD11" s="1" t="n"/>
      <c r="GE11" s="1" t="n"/>
      <c r="GF11" s="1" t="n"/>
      <c r="GG11" s="1" t="n"/>
      <c r="GH11" s="1" t="n"/>
      <c r="GI11" s="1" t="n"/>
      <c r="GJ11" s="1" t="n"/>
      <c r="GK11" s="1" t="n"/>
      <c r="GL11" s="1" t="n"/>
      <c r="GM11" s="1" t="n"/>
      <c r="GN11" s="1" t="n"/>
      <c r="GO11" s="1" t="n"/>
      <c r="GP11" s="1" t="n"/>
      <c r="GQ11" s="1" t="n"/>
      <c r="GR11" s="1" t="n"/>
      <c r="GS11" s="1" t="n"/>
      <c r="GT11" s="1" t="n"/>
      <c r="GU11" s="1" t="n"/>
      <c r="GV11" s="1" t="n"/>
      <c r="GW11" s="1" t="n"/>
      <c r="GX11" s="1" t="n"/>
      <c r="GY11" s="1" t="n"/>
      <c r="GZ11" s="1" t="n"/>
      <c r="HA11" s="1" t="n"/>
      <c r="HB11" s="1" t="n"/>
      <c r="HC11" s="1" t="n"/>
      <c r="HD11" s="1" t="n"/>
      <c r="HE11" s="1" t="n"/>
      <c r="HF11" s="1" t="n"/>
      <c r="HG11" s="1" t="n"/>
      <c r="HH11" s="1" t="n"/>
      <c r="HI11" s="1" t="n"/>
      <c r="HJ11" s="1" t="n"/>
      <c r="HK11" s="1" t="n"/>
      <c r="HL11" s="1" t="n"/>
      <c r="HM11" s="1" t="n"/>
      <c r="HN11" s="1" t="n"/>
      <c r="HO11" s="1" t="n"/>
      <c r="HP11" s="1" t="n"/>
      <c r="HQ11" s="1" t="n"/>
      <c r="HR11" s="1" t="n"/>
      <c r="HS11" s="1" t="n"/>
      <c r="HT11" s="1" t="n"/>
      <c r="HU11" s="1" t="n"/>
      <c r="HV11" s="1" t="n"/>
      <c r="HW11" s="1" t="n"/>
      <c r="HX11" s="1" t="n"/>
      <c r="HY11" s="1" t="n"/>
      <c r="HZ11" s="1" t="n"/>
      <c r="IA11" s="1" t="n"/>
      <c r="IB11" s="1" t="n"/>
      <c r="IC11" s="1" t="n"/>
      <c r="ID11" s="1" t="n"/>
      <c r="IE11" s="1" t="n"/>
      <c r="IF11" s="1" t="n"/>
      <c r="IG11" s="1" t="n"/>
      <c r="IH11" s="1" t="n"/>
      <c r="II11" s="1" t="n"/>
      <c r="IJ11" s="1" t="n"/>
      <c r="IK11" s="1" t="n"/>
      <c r="IL11" s="1" t="n"/>
      <c r="IM11" s="1" t="n"/>
      <c r="IN11" s="1" t="n"/>
      <c r="IO11" s="1" t="n"/>
      <c r="IP11" s="1" t="n"/>
      <c r="IQ11" s="1" t="n"/>
      <c r="IR11" s="1" t="n"/>
      <c r="IS11" s="1" t="n"/>
      <c r="IT11" s="1" t="n"/>
      <c r="IU11" s="1" t="n"/>
      <c r="IV11" s="1" t="n"/>
    </row>
    <row r="12" ht="15.5" customHeight="1" thickTop="1">
      <c r="A12" s="60" t="inlineStr">
        <is>
          <t>No</t>
        </is>
      </c>
      <c r="B12" s="61" t="inlineStr">
        <is>
          <t>Item No</t>
        </is>
      </c>
      <c r="C12" s="61" t="inlineStr">
        <is>
          <t>Item Description</t>
        </is>
      </c>
      <c r="D12" s="61" t="inlineStr">
        <is>
          <t>Q'ty</t>
        </is>
      </c>
      <c r="E12" s="61" t="inlineStr">
        <is>
          <t>Price</t>
        </is>
      </c>
      <c r="F12" s="62" t="inlineStr">
        <is>
          <t>Amount</t>
        </is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  <c r="AY12" s="1" t="n"/>
      <c r="AZ12" s="1" t="n"/>
      <c r="BA12" s="1" t="n"/>
      <c r="BB12" s="1" t="n"/>
      <c r="BC12" s="1" t="n"/>
      <c r="BD12" s="1" t="n"/>
      <c r="BE12" s="1" t="n"/>
      <c r="BF12" s="1" t="n"/>
      <c r="BG12" s="1" t="n"/>
      <c r="BH12" s="1" t="n"/>
      <c r="BI12" s="1" t="n"/>
      <c r="BJ12" s="1" t="n"/>
      <c r="BK12" s="1" t="n"/>
      <c r="BL12" s="1" t="n"/>
      <c r="BM12" s="1" t="n"/>
      <c r="BN12" s="1" t="n"/>
      <c r="BO12" s="1" t="n"/>
      <c r="BP12" s="1" t="n"/>
      <c r="BQ12" s="1" t="n"/>
      <c r="BR12" s="1" t="n"/>
      <c r="BS12" s="1" t="n"/>
      <c r="BT12" s="1" t="n"/>
      <c r="BU12" s="1" t="n"/>
      <c r="BV12" s="1" t="n"/>
      <c r="BW12" s="1" t="n"/>
      <c r="BX12" s="1" t="n"/>
      <c r="BY12" s="1" t="n"/>
      <c r="BZ12" s="1" t="n"/>
      <c r="CA12" s="1" t="n"/>
      <c r="CB12" s="1" t="n"/>
      <c r="CC12" s="1" t="n"/>
      <c r="CD12" s="1" t="n"/>
      <c r="CE12" s="1" t="n"/>
      <c r="CF12" s="1" t="n"/>
      <c r="CG12" s="1" t="n"/>
      <c r="CH12" s="1" t="n"/>
      <c r="CI12" s="1" t="n"/>
      <c r="CJ12" s="1" t="n"/>
      <c r="CK12" s="1" t="n"/>
      <c r="CL12" s="1" t="n"/>
      <c r="CM12" s="1" t="n"/>
      <c r="CN12" s="1" t="n"/>
      <c r="CO12" s="1" t="n"/>
      <c r="CP12" s="1" t="n"/>
      <c r="CQ12" s="1" t="n"/>
      <c r="CR12" s="1" t="n"/>
      <c r="CS12" s="1" t="n"/>
      <c r="CT12" s="1" t="n"/>
      <c r="CU12" s="1" t="n"/>
      <c r="CV12" s="1" t="n"/>
      <c r="CW12" s="1" t="n"/>
      <c r="CX12" s="1" t="n"/>
      <c r="CY12" s="1" t="n"/>
      <c r="CZ12" s="1" t="n"/>
      <c r="DA12" s="1" t="n"/>
      <c r="DB12" s="1" t="n"/>
      <c r="DC12" s="1" t="n"/>
      <c r="DD12" s="1" t="n"/>
      <c r="DE12" s="1" t="n"/>
      <c r="DF12" s="1" t="n"/>
      <c r="DG12" s="1" t="n"/>
      <c r="DH12" s="1" t="n"/>
      <c r="DI12" s="1" t="n"/>
      <c r="DJ12" s="1" t="n"/>
      <c r="DK12" s="1" t="n"/>
      <c r="DL12" s="1" t="n"/>
      <c r="DM12" s="1" t="n"/>
      <c r="DN12" s="1" t="n"/>
      <c r="DO12" s="1" t="n"/>
      <c r="DP12" s="1" t="n"/>
      <c r="DQ12" s="1" t="n"/>
      <c r="DR12" s="1" t="n"/>
      <c r="DS12" s="1" t="n"/>
      <c r="DT12" s="1" t="n"/>
      <c r="DU12" s="1" t="n"/>
      <c r="DV12" s="1" t="n"/>
      <c r="DW12" s="1" t="n"/>
      <c r="DX12" s="1" t="n"/>
      <c r="DY12" s="1" t="n"/>
      <c r="DZ12" s="1" t="n"/>
      <c r="EA12" s="1" t="n"/>
      <c r="EB12" s="1" t="n"/>
      <c r="EC12" s="1" t="n"/>
      <c r="ED12" s="1" t="n"/>
      <c r="EE12" s="1" t="n"/>
      <c r="EF12" s="1" t="n"/>
      <c r="EG12" s="1" t="n"/>
      <c r="EH12" s="1" t="n"/>
      <c r="EI12" s="1" t="n"/>
      <c r="EJ12" s="1" t="n"/>
      <c r="EK12" s="1" t="n"/>
      <c r="EL12" s="1" t="n"/>
      <c r="EM12" s="1" t="n"/>
      <c r="EN12" s="1" t="n"/>
      <c r="EO12" s="1" t="n"/>
      <c r="EP12" s="1" t="n"/>
      <c r="EQ12" s="1" t="n"/>
      <c r="ER12" s="1" t="n"/>
      <c r="ES12" s="1" t="n"/>
      <c r="ET12" s="1" t="n"/>
      <c r="EU12" s="1" t="n"/>
      <c r="EV12" s="1" t="n"/>
      <c r="EW12" s="1" t="n"/>
      <c r="EX12" s="1" t="n"/>
      <c r="EY12" s="1" t="n"/>
      <c r="EZ12" s="1" t="n"/>
      <c r="FA12" s="1" t="n"/>
      <c r="FB12" s="1" t="n"/>
      <c r="FC12" s="1" t="n"/>
      <c r="FD12" s="1" t="n"/>
      <c r="FE12" s="1" t="n"/>
      <c r="FF12" s="1" t="n"/>
      <c r="FG12" s="1" t="n"/>
      <c r="FH12" s="1" t="n"/>
      <c r="FI12" s="1" t="n"/>
      <c r="FJ12" s="1" t="n"/>
      <c r="FK12" s="1" t="n"/>
      <c r="FL12" s="1" t="n"/>
      <c r="FM12" s="1" t="n"/>
      <c r="FN12" s="1" t="n"/>
      <c r="FO12" s="1" t="n"/>
      <c r="FP12" s="1" t="n"/>
      <c r="FQ12" s="1" t="n"/>
      <c r="FR12" s="1" t="n"/>
      <c r="FS12" s="1" t="n"/>
      <c r="FT12" s="1" t="n"/>
      <c r="FU12" s="1" t="n"/>
      <c r="FV12" s="1" t="n"/>
      <c r="FW12" s="1" t="n"/>
      <c r="FX12" s="1" t="n"/>
      <c r="FY12" s="1" t="n"/>
      <c r="FZ12" s="1" t="n"/>
      <c r="GA12" s="1" t="n"/>
      <c r="GB12" s="1" t="n"/>
      <c r="GC12" s="1" t="n"/>
      <c r="GD12" s="1" t="n"/>
      <c r="GE12" s="1" t="n"/>
      <c r="GF12" s="1" t="n"/>
      <c r="GG12" s="1" t="n"/>
      <c r="GH12" s="1" t="n"/>
      <c r="GI12" s="1" t="n"/>
      <c r="GJ12" s="1" t="n"/>
      <c r="GK12" s="1" t="n"/>
      <c r="GL12" s="1" t="n"/>
      <c r="GM12" s="1" t="n"/>
      <c r="GN12" s="1" t="n"/>
      <c r="GO12" s="1" t="n"/>
      <c r="GP12" s="1" t="n"/>
      <c r="GQ12" s="1" t="n"/>
      <c r="GR12" s="1" t="n"/>
      <c r="GS12" s="1" t="n"/>
      <c r="GT12" s="1" t="n"/>
      <c r="GU12" s="1" t="n"/>
      <c r="GV12" s="1" t="n"/>
      <c r="GW12" s="1" t="n"/>
      <c r="GX12" s="1" t="n"/>
      <c r="GY12" s="1" t="n"/>
      <c r="GZ12" s="1" t="n"/>
      <c r="HA12" s="1" t="n"/>
      <c r="HB12" s="1" t="n"/>
      <c r="HC12" s="1" t="n"/>
      <c r="HD12" s="1" t="n"/>
      <c r="HE12" s="1" t="n"/>
      <c r="HF12" s="1" t="n"/>
      <c r="HG12" s="1" t="n"/>
      <c r="HH12" s="1" t="n"/>
      <c r="HI12" s="1" t="n"/>
      <c r="HJ12" s="1" t="n"/>
      <c r="HK12" s="1" t="n"/>
      <c r="HL12" s="1" t="n"/>
      <c r="HM12" s="1" t="n"/>
      <c r="HN12" s="1" t="n"/>
      <c r="HO12" s="1" t="n"/>
      <c r="HP12" s="1" t="n"/>
      <c r="HQ12" s="1" t="n"/>
      <c r="HR12" s="1" t="n"/>
      <c r="HS12" s="1" t="n"/>
      <c r="HT12" s="1" t="n"/>
      <c r="HU12" s="1" t="n"/>
      <c r="HV12" s="1" t="n"/>
      <c r="HW12" s="1" t="n"/>
      <c r="HX12" s="1" t="n"/>
      <c r="HY12" s="1" t="n"/>
      <c r="HZ12" s="1" t="n"/>
      <c r="IA12" s="1" t="n"/>
      <c r="IB12" s="1" t="n"/>
      <c r="IC12" s="1" t="n"/>
      <c r="ID12" s="1" t="n"/>
      <c r="IE12" s="1" t="n"/>
      <c r="IF12" s="1" t="n"/>
      <c r="IG12" s="1" t="n"/>
      <c r="IH12" s="1" t="n"/>
      <c r="II12" s="1" t="n"/>
      <c r="IJ12" s="1" t="n"/>
      <c r="IK12" s="1" t="n"/>
      <c r="IL12" s="1" t="n"/>
      <c r="IM12" s="1" t="n"/>
      <c r="IN12" s="1" t="n"/>
      <c r="IO12" s="1" t="n"/>
      <c r="IP12" s="1" t="n"/>
      <c r="IQ12" s="1" t="n"/>
      <c r="IR12" s="1" t="n"/>
      <c r="IS12" s="1" t="n"/>
      <c r="IT12" s="1" t="n"/>
      <c r="IU12" s="1" t="n"/>
      <c r="IV12" s="1" t="n"/>
    </row>
    <row r="13" ht="34.5" customHeight="1">
      <c r="A13" s="14" t="n">
        <v>1</v>
      </c>
      <c r="B13" s="82" t="inlineStr">
        <is>
          <t>8SHB130162</t>
        </is>
      </c>
      <c r="C13" s="83" t="inlineStr">
        <is>
          <t>0266MAGWSM2; MAG WIND SM MOUNT</t>
        </is>
      </c>
      <c r="D13" s="172" t="n">
        <v>10000</v>
      </c>
      <c r="E13" s="173" t="n">
        <v>3.469</v>
      </c>
      <c r="F13" s="174">
        <f>E13*D13</f>
        <v/>
      </c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  <c r="AX13" s="1" t="n"/>
      <c r="AY13" s="1" t="n"/>
      <c r="AZ13" s="1" t="n"/>
      <c r="BA13" s="1" t="n"/>
      <c r="BB13" s="1" t="n"/>
      <c r="BC13" s="1" t="n"/>
      <c r="BD13" s="1" t="n"/>
      <c r="BE13" s="1" t="n"/>
      <c r="BF13" s="1" t="n"/>
      <c r="BG13" s="1" t="n"/>
      <c r="BH13" s="1" t="n"/>
      <c r="BI13" s="1" t="n"/>
      <c r="BJ13" s="1" t="n"/>
      <c r="BK13" s="1" t="n"/>
      <c r="BL13" s="1" t="n"/>
      <c r="BM13" s="1" t="n"/>
      <c r="BN13" s="1" t="n"/>
      <c r="BO13" s="1" t="n"/>
      <c r="BP13" s="1" t="n"/>
      <c r="BQ13" s="1" t="n"/>
      <c r="BR13" s="1" t="n"/>
      <c r="BS13" s="1" t="n"/>
      <c r="BT13" s="1" t="n"/>
      <c r="BU13" s="1" t="n"/>
      <c r="BV13" s="1" t="n"/>
      <c r="BW13" s="1" t="n"/>
      <c r="BX13" s="1" t="n"/>
      <c r="BY13" s="1" t="n"/>
      <c r="BZ13" s="1" t="n"/>
      <c r="CA13" s="1" t="n"/>
      <c r="CB13" s="1" t="n"/>
      <c r="CC13" s="1" t="n"/>
      <c r="CD13" s="1" t="n"/>
      <c r="CE13" s="1" t="n"/>
      <c r="CF13" s="1" t="n"/>
      <c r="CG13" s="1" t="n"/>
      <c r="CH13" s="1" t="n"/>
      <c r="CI13" s="1" t="n"/>
      <c r="CJ13" s="1" t="n"/>
      <c r="CK13" s="1" t="n"/>
      <c r="CL13" s="1" t="n"/>
      <c r="CM13" s="1" t="n"/>
      <c r="CN13" s="1" t="n"/>
      <c r="CO13" s="1" t="n"/>
      <c r="CP13" s="1" t="n"/>
      <c r="CQ13" s="1" t="n"/>
      <c r="CR13" s="1" t="n"/>
      <c r="CS13" s="1" t="n"/>
      <c r="CT13" s="1" t="n"/>
      <c r="CU13" s="1" t="n"/>
      <c r="CV13" s="1" t="n"/>
      <c r="CW13" s="1" t="n"/>
      <c r="CX13" s="1" t="n"/>
      <c r="CY13" s="1" t="n"/>
      <c r="CZ13" s="1" t="n"/>
      <c r="DA13" s="1" t="n"/>
      <c r="DB13" s="1" t="n"/>
      <c r="DC13" s="1" t="n"/>
      <c r="DD13" s="1" t="n"/>
      <c r="DE13" s="1" t="n"/>
      <c r="DF13" s="1" t="n"/>
      <c r="DG13" s="1" t="n"/>
      <c r="DH13" s="1" t="n"/>
      <c r="DI13" s="1" t="n"/>
      <c r="DJ13" s="1" t="n"/>
      <c r="DK13" s="1" t="n"/>
      <c r="DL13" s="1" t="n"/>
      <c r="DM13" s="1" t="n"/>
      <c r="DN13" s="1" t="n"/>
      <c r="DO13" s="1" t="n"/>
      <c r="DP13" s="1" t="n"/>
      <c r="DQ13" s="1" t="n"/>
      <c r="DR13" s="1" t="n"/>
      <c r="DS13" s="1" t="n"/>
      <c r="DT13" s="1" t="n"/>
      <c r="DU13" s="1" t="n"/>
      <c r="DV13" s="1" t="n"/>
      <c r="DW13" s="1" t="n"/>
      <c r="DX13" s="1" t="n"/>
      <c r="DY13" s="1" t="n"/>
      <c r="DZ13" s="1" t="n"/>
      <c r="EA13" s="1" t="n"/>
      <c r="EB13" s="1" t="n"/>
      <c r="EC13" s="1" t="n"/>
      <c r="ED13" s="1" t="n"/>
      <c r="EE13" s="1" t="n"/>
      <c r="EF13" s="1" t="n"/>
      <c r="EG13" s="1" t="n"/>
      <c r="EH13" s="1" t="n"/>
      <c r="EI13" s="1" t="n"/>
      <c r="EJ13" s="1" t="n"/>
      <c r="EK13" s="1" t="n"/>
      <c r="EL13" s="1" t="n"/>
      <c r="EM13" s="1" t="n"/>
      <c r="EN13" s="1" t="n"/>
      <c r="EO13" s="1" t="n"/>
      <c r="EP13" s="1" t="n"/>
      <c r="EQ13" s="1" t="n"/>
      <c r="ER13" s="1" t="n"/>
      <c r="ES13" s="1" t="n"/>
      <c r="ET13" s="1" t="n"/>
      <c r="EU13" s="1" t="n"/>
      <c r="EV13" s="1" t="n"/>
      <c r="EW13" s="1" t="n"/>
      <c r="EX13" s="1" t="n"/>
      <c r="EY13" s="1" t="n"/>
      <c r="EZ13" s="1" t="n"/>
      <c r="FA13" s="1" t="n"/>
      <c r="FB13" s="1" t="n"/>
      <c r="FC13" s="1" t="n"/>
      <c r="FD13" s="1" t="n"/>
      <c r="FE13" s="1" t="n"/>
      <c r="FF13" s="1" t="n"/>
      <c r="FG13" s="1" t="n"/>
      <c r="FH13" s="1" t="n"/>
      <c r="FI13" s="1" t="n"/>
      <c r="FJ13" s="1" t="n"/>
      <c r="FK13" s="1" t="n"/>
      <c r="FL13" s="1" t="n"/>
      <c r="FM13" s="1" t="n"/>
      <c r="FN13" s="1" t="n"/>
      <c r="FO13" s="1" t="n"/>
      <c r="FP13" s="1" t="n"/>
      <c r="FQ13" s="1" t="n"/>
      <c r="FR13" s="1" t="n"/>
      <c r="FS13" s="1" t="n"/>
      <c r="FT13" s="1" t="n"/>
      <c r="FU13" s="1" t="n"/>
      <c r="FV13" s="1" t="n"/>
      <c r="FW13" s="1" t="n"/>
      <c r="FX13" s="1" t="n"/>
      <c r="FY13" s="1" t="n"/>
      <c r="FZ13" s="1" t="n"/>
      <c r="GA13" s="1" t="n"/>
      <c r="GB13" s="1" t="n"/>
      <c r="GC13" s="1" t="n"/>
      <c r="GD13" s="1" t="n"/>
      <c r="GE13" s="1" t="n"/>
      <c r="GF13" s="1" t="n"/>
      <c r="GG13" s="1" t="n"/>
      <c r="GH13" s="1" t="n"/>
      <c r="GI13" s="1" t="n"/>
      <c r="GJ13" s="1" t="n"/>
      <c r="GK13" s="1" t="n"/>
      <c r="GL13" s="1" t="n"/>
      <c r="GM13" s="1" t="n"/>
      <c r="GN13" s="1" t="n"/>
      <c r="GO13" s="1" t="n"/>
      <c r="GP13" s="1" t="n"/>
      <c r="GQ13" s="1" t="n"/>
      <c r="GR13" s="1" t="n"/>
      <c r="GS13" s="1" t="n"/>
      <c r="GT13" s="1" t="n"/>
      <c r="GU13" s="1" t="n"/>
      <c r="GV13" s="1" t="n"/>
      <c r="GW13" s="1" t="n"/>
      <c r="GX13" s="1" t="n"/>
      <c r="GY13" s="1" t="n"/>
      <c r="GZ13" s="1" t="n"/>
      <c r="HA13" s="1" t="n"/>
      <c r="HB13" s="1" t="n"/>
      <c r="HC13" s="1" t="n"/>
      <c r="HD13" s="1" t="n"/>
      <c r="HE13" s="1" t="n"/>
      <c r="HF13" s="1" t="n"/>
      <c r="HG13" s="1" t="n"/>
      <c r="HH13" s="1" t="n"/>
      <c r="HI13" s="1" t="n"/>
      <c r="HJ13" s="1" t="n"/>
      <c r="HK13" s="1" t="n"/>
      <c r="HL13" s="1" t="n"/>
      <c r="HM13" s="1" t="n"/>
      <c r="HN13" s="1" t="n"/>
      <c r="HO13" s="1" t="n"/>
      <c r="HP13" s="1" t="n"/>
      <c r="HQ13" s="1" t="n"/>
      <c r="HR13" s="1" t="n"/>
      <c r="HS13" s="1" t="n"/>
      <c r="HT13" s="1" t="n"/>
      <c r="HU13" s="1" t="n"/>
      <c r="HV13" s="1" t="n"/>
      <c r="HW13" s="1" t="n"/>
      <c r="HX13" s="1" t="n"/>
      <c r="HY13" s="1" t="n"/>
      <c r="HZ13" s="1" t="n"/>
      <c r="IA13" s="1" t="n"/>
      <c r="IB13" s="1" t="n"/>
      <c r="IC13" s="1" t="n"/>
      <c r="ID13" s="1" t="n"/>
      <c r="IE13" s="1" t="n"/>
      <c r="IF13" s="1" t="n"/>
      <c r="IG13" s="1" t="n"/>
      <c r="IH13" s="1" t="n"/>
      <c r="II13" s="1" t="n"/>
      <c r="IJ13" s="1" t="n"/>
      <c r="IK13" s="1" t="n"/>
      <c r="IL13" s="1" t="n"/>
      <c r="IM13" s="1" t="n"/>
      <c r="IN13" s="1" t="n"/>
      <c r="IO13" s="1" t="n"/>
      <c r="IP13" s="1" t="n"/>
      <c r="IQ13" s="1" t="n"/>
      <c r="IR13" s="1" t="n"/>
      <c r="IS13" s="1" t="n"/>
      <c r="IT13" s="1" t="n"/>
      <c r="IU13" s="1" t="n"/>
      <c r="IV13" s="1" t="n"/>
    </row>
    <row r="14" ht="34.5" customHeight="1">
      <c r="A14" s="14" t="n">
        <v>2</v>
      </c>
      <c r="B14" s="82" t="inlineStr">
        <is>
          <t>8SHB130161</t>
        </is>
      </c>
      <c r="C14" s="83" t="inlineStr">
        <is>
          <t>0266MAGWSM-SP1; MM WNDW SUCTN MNT</t>
        </is>
      </c>
      <c r="D14" s="172" t="n">
        <v>36000</v>
      </c>
      <c r="E14" s="173" t="n">
        <v>2.722</v>
      </c>
      <c r="F14" s="174">
        <f>E14*D14</f>
        <v/>
      </c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  <c r="AY14" s="1" t="n"/>
      <c r="AZ14" s="1" t="n"/>
      <c r="BA14" s="1" t="n"/>
      <c r="BB14" s="1" t="n"/>
      <c r="BC14" s="1" t="n"/>
      <c r="BD14" s="1" t="n"/>
      <c r="BE14" s="1" t="n"/>
      <c r="BF14" s="1" t="n"/>
      <c r="BG14" s="1" t="n"/>
      <c r="BH14" s="1" t="n"/>
      <c r="BI14" s="1" t="n"/>
      <c r="BJ14" s="1" t="n"/>
      <c r="BK14" s="1" t="n"/>
      <c r="BL14" s="1" t="n"/>
      <c r="BM14" s="1" t="n"/>
      <c r="BN14" s="1" t="n"/>
      <c r="BO14" s="1" t="n"/>
      <c r="BP14" s="1" t="n"/>
      <c r="BQ14" s="1" t="n"/>
      <c r="BR14" s="1" t="n"/>
      <c r="BS14" s="1" t="n"/>
      <c r="BT14" s="1" t="n"/>
      <c r="BU14" s="1" t="n"/>
      <c r="BV14" s="1" t="n"/>
      <c r="BW14" s="1" t="n"/>
      <c r="BX14" s="1" t="n"/>
      <c r="BY14" s="1" t="n"/>
      <c r="BZ14" s="1" t="n"/>
      <c r="CA14" s="1" t="n"/>
      <c r="CB14" s="1" t="n"/>
      <c r="CC14" s="1" t="n"/>
      <c r="CD14" s="1" t="n"/>
      <c r="CE14" s="1" t="n"/>
      <c r="CF14" s="1" t="n"/>
      <c r="CG14" s="1" t="n"/>
      <c r="CH14" s="1" t="n"/>
      <c r="CI14" s="1" t="n"/>
      <c r="CJ14" s="1" t="n"/>
      <c r="CK14" s="1" t="n"/>
      <c r="CL14" s="1" t="n"/>
      <c r="CM14" s="1" t="n"/>
      <c r="CN14" s="1" t="n"/>
      <c r="CO14" s="1" t="n"/>
      <c r="CP14" s="1" t="n"/>
      <c r="CQ14" s="1" t="n"/>
      <c r="CR14" s="1" t="n"/>
      <c r="CS14" s="1" t="n"/>
      <c r="CT14" s="1" t="n"/>
      <c r="CU14" s="1" t="n"/>
      <c r="CV14" s="1" t="n"/>
      <c r="CW14" s="1" t="n"/>
      <c r="CX14" s="1" t="n"/>
      <c r="CY14" s="1" t="n"/>
      <c r="CZ14" s="1" t="n"/>
      <c r="DA14" s="1" t="n"/>
      <c r="DB14" s="1" t="n"/>
      <c r="DC14" s="1" t="n"/>
      <c r="DD14" s="1" t="n"/>
      <c r="DE14" s="1" t="n"/>
      <c r="DF14" s="1" t="n"/>
      <c r="DG14" s="1" t="n"/>
      <c r="DH14" s="1" t="n"/>
      <c r="DI14" s="1" t="n"/>
      <c r="DJ14" s="1" t="n"/>
      <c r="DK14" s="1" t="n"/>
      <c r="DL14" s="1" t="n"/>
      <c r="DM14" s="1" t="n"/>
      <c r="DN14" s="1" t="n"/>
      <c r="DO14" s="1" t="n"/>
      <c r="DP14" s="1" t="n"/>
      <c r="DQ14" s="1" t="n"/>
      <c r="DR14" s="1" t="n"/>
      <c r="DS14" s="1" t="n"/>
      <c r="DT14" s="1" t="n"/>
      <c r="DU14" s="1" t="n"/>
      <c r="DV14" s="1" t="n"/>
      <c r="DW14" s="1" t="n"/>
      <c r="DX14" s="1" t="n"/>
      <c r="DY14" s="1" t="n"/>
      <c r="DZ14" s="1" t="n"/>
      <c r="EA14" s="1" t="n"/>
      <c r="EB14" s="1" t="n"/>
      <c r="EC14" s="1" t="n"/>
      <c r="ED14" s="1" t="n"/>
      <c r="EE14" s="1" t="n"/>
      <c r="EF14" s="1" t="n"/>
      <c r="EG14" s="1" t="n"/>
      <c r="EH14" s="1" t="n"/>
      <c r="EI14" s="1" t="n"/>
      <c r="EJ14" s="1" t="n"/>
      <c r="EK14" s="1" t="n"/>
      <c r="EL14" s="1" t="n"/>
      <c r="EM14" s="1" t="n"/>
      <c r="EN14" s="1" t="n"/>
      <c r="EO14" s="1" t="n"/>
      <c r="EP14" s="1" t="n"/>
      <c r="EQ14" s="1" t="n"/>
      <c r="ER14" s="1" t="n"/>
      <c r="ES14" s="1" t="n"/>
      <c r="ET14" s="1" t="n"/>
      <c r="EU14" s="1" t="n"/>
      <c r="EV14" s="1" t="n"/>
      <c r="EW14" s="1" t="n"/>
      <c r="EX14" s="1" t="n"/>
      <c r="EY14" s="1" t="n"/>
      <c r="EZ14" s="1" t="n"/>
      <c r="FA14" s="1" t="n"/>
      <c r="FB14" s="1" t="n"/>
      <c r="FC14" s="1" t="n"/>
      <c r="FD14" s="1" t="n"/>
      <c r="FE14" s="1" t="n"/>
      <c r="FF14" s="1" t="n"/>
      <c r="FG14" s="1" t="n"/>
      <c r="FH14" s="1" t="n"/>
      <c r="FI14" s="1" t="n"/>
      <c r="FJ14" s="1" t="n"/>
      <c r="FK14" s="1" t="n"/>
      <c r="FL14" s="1" t="n"/>
      <c r="FM14" s="1" t="n"/>
      <c r="FN14" s="1" t="n"/>
      <c r="FO14" s="1" t="n"/>
      <c r="FP14" s="1" t="n"/>
      <c r="FQ14" s="1" t="n"/>
      <c r="FR14" s="1" t="n"/>
      <c r="FS14" s="1" t="n"/>
      <c r="FT14" s="1" t="n"/>
      <c r="FU14" s="1" t="n"/>
      <c r="FV14" s="1" t="n"/>
      <c r="FW14" s="1" t="n"/>
      <c r="FX14" s="1" t="n"/>
      <c r="FY14" s="1" t="n"/>
      <c r="FZ14" s="1" t="n"/>
      <c r="GA14" s="1" t="n"/>
      <c r="GB14" s="1" t="n"/>
      <c r="GC14" s="1" t="n"/>
      <c r="GD14" s="1" t="n"/>
      <c r="GE14" s="1" t="n"/>
      <c r="GF14" s="1" t="n"/>
      <c r="GG14" s="1" t="n"/>
      <c r="GH14" s="1" t="n"/>
      <c r="GI14" s="1" t="n"/>
      <c r="GJ14" s="1" t="n"/>
      <c r="GK14" s="1" t="n"/>
      <c r="GL14" s="1" t="n"/>
      <c r="GM14" s="1" t="n"/>
      <c r="GN14" s="1" t="n"/>
      <c r="GO14" s="1" t="n"/>
      <c r="GP14" s="1" t="n"/>
      <c r="GQ14" s="1" t="n"/>
      <c r="GR14" s="1" t="n"/>
      <c r="GS14" s="1" t="n"/>
      <c r="GT14" s="1" t="n"/>
      <c r="GU14" s="1" t="n"/>
      <c r="GV14" s="1" t="n"/>
      <c r="GW14" s="1" t="n"/>
      <c r="GX14" s="1" t="n"/>
      <c r="GY14" s="1" t="n"/>
      <c r="GZ14" s="1" t="n"/>
      <c r="HA14" s="1" t="n"/>
      <c r="HB14" s="1" t="n"/>
      <c r="HC14" s="1" t="n"/>
      <c r="HD14" s="1" t="n"/>
      <c r="HE14" s="1" t="n"/>
      <c r="HF14" s="1" t="n"/>
      <c r="HG14" s="1" t="n"/>
      <c r="HH14" s="1" t="n"/>
      <c r="HI14" s="1" t="n"/>
      <c r="HJ14" s="1" t="n"/>
      <c r="HK14" s="1" t="n"/>
      <c r="HL14" s="1" t="n"/>
      <c r="HM14" s="1" t="n"/>
      <c r="HN14" s="1" t="n"/>
      <c r="HO14" s="1" t="n"/>
      <c r="HP14" s="1" t="n"/>
      <c r="HQ14" s="1" t="n"/>
      <c r="HR14" s="1" t="n"/>
      <c r="HS14" s="1" t="n"/>
      <c r="HT14" s="1" t="n"/>
      <c r="HU14" s="1" t="n"/>
      <c r="HV14" s="1" t="n"/>
      <c r="HW14" s="1" t="n"/>
      <c r="HX14" s="1" t="n"/>
      <c r="HY14" s="1" t="n"/>
      <c r="HZ14" s="1" t="n"/>
      <c r="IA14" s="1" t="n"/>
      <c r="IB14" s="1" t="n"/>
      <c r="IC14" s="1" t="n"/>
      <c r="ID14" s="1" t="n"/>
      <c r="IE14" s="1" t="n"/>
      <c r="IF14" s="1" t="n"/>
      <c r="IG14" s="1" t="n"/>
      <c r="IH14" s="1" t="n"/>
      <c r="II14" s="1" t="n"/>
      <c r="IJ14" s="1" t="n"/>
      <c r="IK14" s="1" t="n"/>
      <c r="IL14" s="1" t="n"/>
      <c r="IM14" s="1" t="n"/>
      <c r="IN14" s="1" t="n"/>
      <c r="IO14" s="1" t="n"/>
      <c r="IP14" s="1" t="n"/>
      <c r="IQ14" s="1" t="n"/>
      <c r="IR14" s="1" t="n"/>
      <c r="IS14" s="1" t="n"/>
      <c r="IT14" s="1" t="n"/>
      <c r="IU14" s="1" t="n"/>
      <c r="IV14" s="1" t="n"/>
    </row>
    <row r="15" ht="34.5" customHeight="1">
      <c r="A15" s="14" t="n">
        <v>3</v>
      </c>
      <c r="B15" s="82" t="inlineStr">
        <is>
          <t>8SHB060027</t>
        </is>
      </c>
      <c r="C15" s="83" t="inlineStr">
        <is>
          <t xml:space="preserve">0266IHW10PD; 4 IN 1 UNI MNT KIT </t>
        </is>
      </c>
      <c r="D15" s="172" t="n">
        <v>6000</v>
      </c>
      <c r="E15" s="173" t="n">
        <v>3.96</v>
      </c>
      <c r="F15" s="174">
        <f>E15*D15</f>
        <v/>
      </c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n"/>
      <c r="BG15" s="1" t="n"/>
      <c r="BH15" s="1" t="n"/>
      <c r="BI15" s="1" t="n"/>
      <c r="BJ15" s="1" t="n"/>
      <c r="BK15" s="1" t="n"/>
      <c r="BL15" s="1" t="n"/>
      <c r="BM15" s="1" t="n"/>
      <c r="BN15" s="1" t="n"/>
      <c r="BO15" s="1" t="n"/>
      <c r="BP15" s="1" t="n"/>
      <c r="BQ15" s="1" t="n"/>
      <c r="BR15" s="1" t="n"/>
      <c r="BS15" s="1" t="n"/>
      <c r="BT15" s="1" t="n"/>
      <c r="BU15" s="1" t="n"/>
      <c r="BV15" s="1" t="n"/>
      <c r="BW15" s="1" t="n"/>
      <c r="BX15" s="1" t="n"/>
      <c r="BY15" s="1" t="n"/>
      <c r="BZ15" s="1" t="n"/>
      <c r="CA15" s="1" t="n"/>
      <c r="CB15" s="1" t="n"/>
      <c r="CC15" s="1" t="n"/>
      <c r="CD15" s="1" t="n"/>
      <c r="CE15" s="1" t="n"/>
      <c r="CF15" s="1" t="n"/>
      <c r="CG15" s="1" t="n"/>
      <c r="CH15" s="1" t="n"/>
      <c r="CI15" s="1" t="n"/>
      <c r="CJ15" s="1" t="n"/>
      <c r="CK15" s="1" t="n"/>
      <c r="CL15" s="1" t="n"/>
      <c r="CM15" s="1" t="n"/>
      <c r="CN15" s="1" t="n"/>
      <c r="CO15" s="1" t="n"/>
      <c r="CP15" s="1" t="n"/>
      <c r="CQ15" s="1" t="n"/>
      <c r="CR15" s="1" t="n"/>
      <c r="CS15" s="1" t="n"/>
      <c r="CT15" s="1" t="n"/>
      <c r="CU15" s="1" t="n"/>
      <c r="CV15" s="1" t="n"/>
      <c r="CW15" s="1" t="n"/>
      <c r="CX15" s="1" t="n"/>
      <c r="CY15" s="1" t="n"/>
      <c r="CZ15" s="1" t="n"/>
      <c r="DA15" s="1" t="n"/>
      <c r="DB15" s="1" t="n"/>
      <c r="DC15" s="1" t="n"/>
      <c r="DD15" s="1" t="n"/>
      <c r="DE15" s="1" t="n"/>
      <c r="DF15" s="1" t="n"/>
      <c r="DG15" s="1" t="n"/>
      <c r="DH15" s="1" t="n"/>
      <c r="DI15" s="1" t="n"/>
      <c r="DJ15" s="1" t="n"/>
      <c r="DK15" s="1" t="n"/>
      <c r="DL15" s="1" t="n"/>
      <c r="DM15" s="1" t="n"/>
      <c r="DN15" s="1" t="n"/>
      <c r="DO15" s="1" t="n"/>
      <c r="DP15" s="1" t="n"/>
      <c r="DQ15" s="1" t="n"/>
      <c r="DR15" s="1" t="n"/>
      <c r="DS15" s="1" t="n"/>
      <c r="DT15" s="1" t="n"/>
      <c r="DU15" s="1" t="n"/>
      <c r="DV15" s="1" t="n"/>
      <c r="DW15" s="1" t="n"/>
      <c r="DX15" s="1" t="n"/>
      <c r="DY15" s="1" t="n"/>
      <c r="DZ15" s="1" t="n"/>
      <c r="EA15" s="1" t="n"/>
      <c r="EB15" s="1" t="n"/>
      <c r="EC15" s="1" t="n"/>
      <c r="ED15" s="1" t="n"/>
      <c r="EE15" s="1" t="n"/>
      <c r="EF15" s="1" t="n"/>
      <c r="EG15" s="1" t="n"/>
      <c r="EH15" s="1" t="n"/>
      <c r="EI15" s="1" t="n"/>
      <c r="EJ15" s="1" t="n"/>
      <c r="EK15" s="1" t="n"/>
      <c r="EL15" s="1" t="n"/>
      <c r="EM15" s="1" t="n"/>
      <c r="EN15" s="1" t="n"/>
      <c r="EO15" s="1" t="n"/>
      <c r="EP15" s="1" t="n"/>
      <c r="EQ15" s="1" t="n"/>
      <c r="ER15" s="1" t="n"/>
      <c r="ES15" s="1" t="n"/>
      <c r="ET15" s="1" t="n"/>
      <c r="EU15" s="1" t="n"/>
      <c r="EV15" s="1" t="n"/>
      <c r="EW15" s="1" t="n"/>
      <c r="EX15" s="1" t="n"/>
      <c r="EY15" s="1" t="n"/>
      <c r="EZ15" s="1" t="n"/>
      <c r="FA15" s="1" t="n"/>
      <c r="FB15" s="1" t="n"/>
      <c r="FC15" s="1" t="n"/>
      <c r="FD15" s="1" t="n"/>
      <c r="FE15" s="1" t="n"/>
      <c r="FF15" s="1" t="n"/>
      <c r="FG15" s="1" t="n"/>
      <c r="FH15" s="1" t="n"/>
      <c r="FI15" s="1" t="n"/>
      <c r="FJ15" s="1" t="n"/>
      <c r="FK15" s="1" t="n"/>
      <c r="FL15" s="1" t="n"/>
      <c r="FM15" s="1" t="n"/>
      <c r="FN15" s="1" t="n"/>
      <c r="FO15" s="1" t="n"/>
      <c r="FP15" s="1" t="n"/>
      <c r="FQ15" s="1" t="n"/>
      <c r="FR15" s="1" t="n"/>
      <c r="FS15" s="1" t="n"/>
      <c r="FT15" s="1" t="n"/>
      <c r="FU15" s="1" t="n"/>
      <c r="FV15" s="1" t="n"/>
      <c r="FW15" s="1" t="n"/>
      <c r="FX15" s="1" t="n"/>
      <c r="FY15" s="1" t="n"/>
      <c r="FZ15" s="1" t="n"/>
      <c r="GA15" s="1" t="n"/>
      <c r="GB15" s="1" t="n"/>
      <c r="GC15" s="1" t="n"/>
      <c r="GD15" s="1" t="n"/>
      <c r="GE15" s="1" t="n"/>
      <c r="GF15" s="1" t="n"/>
      <c r="GG15" s="1" t="n"/>
      <c r="GH15" s="1" t="n"/>
      <c r="GI15" s="1" t="n"/>
      <c r="GJ15" s="1" t="n"/>
      <c r="GK15" s="1" t="n"/>
      <c r="GL15" s="1" t="n"/>
      <c r="GM15" s="1" t="n"/>
      <c r="GN15" s="1" t="n"/>
      <c r="GO15" s="1" t="n"/>
      <c r="GP15" s="1" t="n"/>
      <c r="GQ15" s="1" t="n"/>
      <c r="GR15" s="1" t="n"/>
      <c r="GS15" s="1" t="n"/>
      <c r="GT15" s="1" t="n"/>
      <c r="GU15" s="1" t="n"/>
      <c r="GV15" s="1" t="n"/>
      <c r="GW15" s="1" t="n"/>
      <c r="GX15" s="1" t="n"/>
      <c r="GY15" s="1" t="n"/>
      <c r="GZ15" s="1" t="n"/>
      <c r="HA15" s="1" t="n"/>
      <c r="HB15" s="1" t="n"/>
      <c r="HC15" s="1" t="n"/>
      <c r="HD15" s="1" t="n"/>
      <c r="HE15" s="1" t="n"/>
      <c r="HF15" s="1" t="n"/>
      <c r="HG15" s="1" t="n"/>
      <c r="HH15" s="1" t="n"/>
      <c r="HI15" s="1" t="n"/>
      <c r="HJ15" s="1" t="n"/>
      <c r="HK15" s="1" t="n"/>
      <c r="HL15" s="1" t="n"/>
      <c r="HM15" s="1" t="n"/>
      <c r="HN15" s="1" t="n"/>
      <c r="HO15" s="1" t="n"/>
      <c r="HP15" s="1" t="n"/>
      <c r="HQ15" s="1" t="n"/>
      <c r="HR15" s="1" t="n"/>
      <c r="HS15" s="1" t="n"/>
      <c r="HT15" s="1" t="n"/>
      <c r="HU15" s="1" t="n"/>
      <c r="HV15" s="1" t="n"/>
      <c r="HW15" s="1" t="n"/>
      <c r="HX15" s="1" t="n"/>
      <c r="HY15" s="1" t="n"/>
      <c r="HZ15" s="1" t="n"/>
      <c r="IA15" s="1" t="n"/>
      <c r="IB15" s="1" t="n"/>
      <c r="IC15" s="1" t="n"/>
      <c r="ID15" s="1" t="n"/>
      <c r="IE15" s="1" t="n"/>
      <c r="IF15" s="1" t="n"/>
      <c r="IG15" s="1" t="n"/>
      <c r="IH15" s="1" t="n"/>
      <c r="II15" s="1" t="n"/>
      <c r="IJ15" s="1" t="n"/>
      <c r="IK15" s="1" t="n"/>
      <c r="IL15" s="1" t="n"/>
      <c r="IM15" s="1" t="n"/>
      <c r="IN15" s="1" t="n"/>
      <c r="IO15" s="1" t="n"/>
      <c r="IP15" s="1" t="n"/>
      <c r="IQ15" s="1" t="n"/>
      <c r="IR15" s="1" t="n"/>
      <c r="IS15" s="1" t="n"/>
      <c r="IT15" s="1" t="n"/>
      <c r="IU15" s="1" t="n"/>
      <c r="IV15" s="1" t="n"/>
    </row>
    <row r="16" ht="15.5" customHeight="1">
      <c r="A16" s="1" t="n"/>
      <c r="B16" s="39" t="n"/>
      <c r="C16" s="64" t="n"/>
      <c r="D16" s="64" t="n"/>
      <c r="E16" s="64" t="n"/>
      <c r="F16" s="64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  <c r="AX16" s="1" t="n"/>
      <c r="AY16" s="1" t="n"/>
      <c r="AZ16" s="1" t="n"/>
      <c r="BA16" s="1" t="n"/>
      <c r="BB16" s="1" t="n"/>
      <c r="BC16" s="1" t="n"/>
      <c r="BD16" s="1" t="n"/>
      <c r="BE16" s="1" t="n"/>
      <c r="BF16" s="1" t="n"/>
      <c r="BG16" s="1" t="n"/>
      <c r="BH16" s="1" t="n"/>
      <c r="BI16" s="1" t="n"/>
      <c r="BJ16" s="1" t="n"/>
      <c r="BK16" s="1" t="n"/>
      <c r="BL16" s="1" t="n"/>
      <c r="BM16" s="1" t="n"/>
      <c r="BN16" s="1" t="n"/>
      <c r="BO16" s="1" t="n"/>
      <c r="BP16" s="1" t="n"/>
      <c r="BQ16" s="1" t="n"/>
      <c r="BR16" s="1" t="n"/>
      <c r="BS16" s="1" t="n"/>
      <c r="BT16" s="1" t="n"/>
      <c r="BU16" s="1" t="n"/>
      <c r="BV16" s="1" t="n"/>
      <c r="BW16" s="1" t="n"/>
      <c r="BX16" s="1" t="n"/>
      <c r="BY16" s="1" t="n"/>
      <c r="BZ16" s="1" t="n"/>
      <c r="CA16" s="1" t="n"/>
      <c r="CB16" s="1" t="n"/>
      <c r="CC16" s="1" t="n"/>
      <c r="CD16" s="1" t="n"/>
      <c r="CE16" s="1" t="n"/>
      <c r="CF16" s="1" t="n"/>
      <c r="CG16" s="1" t="n"/>
      <c r="CH16" s="1" t="n"/>
      <c r="CI16" s="1" t="n"/>
      <c r="CJ16" s="1" t="n"/>
      <c r="CK16" s="1" t="n"/>
      <c r="CL16" s="1" t="n"/>
      <c r="CM16" s="1" t="n"/>
      <c r="CN16" s="1" t="n"/>
      <c r="CO16" s="1" t="n"/>
      <c r="CP16" s="1" t="n"/>
      <c r="CQ16" s="1" t="n"/>
      <c r="CR16" s="1" t="n"/>
      <c r="CS16" s="1" t="n"/>
      <c r="CT16" s="1" t="n"/>
      <c r="CU16" s="1" t="n"/>
      <c r="CV16" s="1" t="n"/>
      <c r="CW16" s="1" t="n"/>
      <c r="CX16" s="1" t="n"/>
      <c r="CY16" s="1" t="n"/>
      <c r="CZ16" s="1" t="n"/>
      <c r="DA16" s="1" t="n"/>
      <c r="DB16" s="1" t="n"/>
      <c r="DC16" s="1" t="n"/>
      <c r="DD16" s="1" t="n"/>
      <c r="DE16" s="1" t="n"/>
      <c r="DF16" s="1" t="n"/>
      <c r="DG16" s="1" t="n"/>
      <c r="DH16" s="1" t="n"/>
      <c r="DI16" s="1" t="n"/>
      <c r="DJ16" s="1" t="n"/>
      <c r="DK16" s="1" t="n"/>
      <c r="DL16" s="1" t="n"/>
      <c r="DM16" s="1" t="n"/>
      <c r="DN16" s="1" t="n"/>
      <c r="DO16" s="1" t="n"/>
      <c r="DP16" s="1" t="n"/>
      <c r="DQ16" s="1" t="n"/>
      <c r="DR16" s="1" t="n"/>
      <c r="DS16" s="1" t="n"/>
      <c r="DT16" s="1" t="n"/>
      <c r="DU16" s="1" t="n"/>
      <c r="DV16" s="1" t="n"/>
      <c r="DW16" s="1" t="n"/>
      <c r="DX16" s="1" t="n"/>
      <c r="DY16" s="1" t="n"/>
      <c r="DZ16" s="1" t="n"/>
      <c r="EA16" s="1" t="n"/>
      <c r="EB16" s="1" t="n"/>
      <c r="EC16" s="1" t="n"/>
      <c r="ED16" s="1" t="n"/>
      <c r="EE16" s="1" t="n"/>
      <c r="EF16" s="1" t="n"/>
      <c r="EG16" s="1" t="n"/>
      <c r="EH16" s="1" t="n"/>
      <c r="EI16" s="1" t="n"/>
      <c r="EJ16" s="1" t="n"/>
      <c r="EK16" s="1" t="n"/>
      <c r="EL16" s="1" t="n"/>
      <c r="EM16" s="1" t="n"/>
      <c r="EN16" s="1" t="n"/>
      <c r="EO16" s="1" t="n"/>
      <c r="EP16" s="1" t="n"/>
      <c r="EQ16" s="1" t="n"/>
      <c r="ER16" s="1" t="n"/>
      <c r="ES16" s="1" t="n"/>
      <c r="ET16" s="1" t="n"/>
      <c r="EU16" s="1" t="n"/>
      <c r="EV16" s="1" t="n"/>
      <c r="EW16" s="1" t="n"/>
      <c r="EX16" s="1" t="n"/>
      <c r="EY16" s="1" t="n"/>
      <c r="EZ16" s="1" t="n"/>
      <c r="FA16" s="1" t="n"/>
      <c r="FB16" s="1" t="n"/>
      <c r="FC16" s="1" t="n"/>
      <c r="FD16" s="1" t="n"/>
      <c r="FE16" s="1" t="n"/>
      <c r="FF16" s="1" t="n"/>
      <c r="FG16" s="1" t="n"/>
      <c r="FH16" s="1" t="n"/>
      <c r="FI16" s="1" t="n"/>
      <c r="FJ16" s="1" t="n"/>
      <c r="FK16" s="1" t="n"/>
      <c r="FL16" s="1" t="n"/>
      <c r="FM16" s="1" t="n"/>
      <c r="FN16" s="1" t="n"/>
      <c r="FO16" s="1" t="n"/>
      <c r="FP16" s="1" t="n"/>
      <c r="FQ16" s="1" t="n"/>
      <c r="FR16" s="1" t="n"/>
      <c r="FS16" s="1" t="n"/>
      <c r="FT16" s="1" t="n"/>
      <c r="FU16" s="1" t="n"/>
      <c r="FV16" s="1" t="n"/>
      <c r="FW16" s="1" t="n"/>
      <c r="FX16" s="1" t="n"/>
      <c r="FY16" s="1" t="n"/>
      <c r="FZ16" s="1" t="n"/>
      <c r="GA16" s="1" t="n"/>
      <c r="GB16" s="1" t="n"/>
      <c r="GC16" s="1" t="n"/>
      <c r="GD16" s="1" t="n"/>
      <c r="GE16" s="1" t="n"/>
      <c r="GF16" s="1" t="n"/>
      <c r="GG16" s="1" t="n"/>
      <c r="GH16" s="1" t="n"/>
      <c r="GI16" s="1" t="n"/>
      <c r="GJ16" s="1" t="n"/>
      <c r="GK16" s="1" t="n"/>
      <c r="GL16" s="1" t="n"/>
      <c r="GM16" s="1" t="n"/>
      <c r="GN16" s="1" t="n"/>
      <c r="GO16" s="1" t="n"/>
      <c r="GP16" s="1" t="n"/>
      <c r="GQ16" s="1" t="n"/>
      <c r="GR16" s="1" t="n"/>
      <c r="GS16" s="1" t="n"/>
      <c r="GT16" s="1" t="n"/>
      <c r="GU16" s="1" t="n"/>
      <c r="GV16" s="1" t="n"/>
      <c r="GW16" s="1" t="n"/>
      <c r="GX16" s="1" t="n"/>
      <c r="GY16" s="1" t="n"/>
      <c r="GZ16" s="1" t="n"/>
      <c r="HA16" s="1" t="n"/>
      <c r="HB16" s="1" t="n"/>
      <c r="HC16" s="1" t="n"/>
      <c r="HD16" s="1" t="n"/>
      <c r="HE16" s="1" t="n"/>
      <c r="HF16" s="1" t="n"/>
      <c r="HG16" s="1" t="n"/>
      <c r="HH16" s="1" t="n"/>
      <c r="HI16" s="1" t="n"/>
      <c r="HJ16" s="1" t="n"/>
      <c r="HK16" s="1" t="n"/>
      <c r="HL16" s="1" t="n"/>
      <c r="HM16" s="1" t="n"/>
      <c r="HN16" s="1" t="n"/>
      <c r="HO16" s="1" t="n"/>
      <c r="HP16" s="1" t="n"/>
      <c r="HQ16" s="1" t="n"/>
      <c r="HR16" s="1" t="n"/>
      <c r="HS16" s="1" t="n"/>
      <c r="HT16" s="1" t="n"/>
      <c r="HU16" s="1" t="n"/>
      <c r="HV16" s="1" t="n"/>
      <c r="HW16" s="1" t="n"/>
      <c r="HX16" s="1" t="n"/>
      <c r="HY16" s="1" t="n"/>
      <c r="HZ16" s="1" t="n"/>
      <c r="IA16" s="1" t="n"/>
      <c r="IB16" s="1" t="n"/>
      <c r="IC16" s="1" t="n"/>
      <c r="ID16" s="1" t="n"/>
      <c r="IE16" s="1" t="n"/>
      <c r="IF16" s="1" t="n"/>
      <c r="IG16" s="1" t="n"/>
      <c r="IH16" s="1" t="n"/>
      <c r="II16" s="1" t="n"/>
      <c r="IJ16" s="1" t="n"/>
      <c r="IK16" s="1" t="n"/>
      <c r="IL16" s="1" t="n"/>
      <c r="IM16" s="1" t="n"/>
      <c r="IN16" s="1" t="n"/>
      <c r="IO16" s="1" t="n"/>
      <c r="IP16" s="1" t="n"/>
      <c r="IQ16" s="1" t="n"/>
      <c r="IR16" s="1" t="n"/>
      <c r="IS16" s="1" t="n"/>
      <c r="IT16" s="1" t="n"/>
      <c r="IU16" s="1" t="n"/>
      <c r="IV16" s="1" t="n"/>
    </row>
    <row r="17" ht="15.5" customHeight="1">
      <c r="A17" s="1" t="n"/>
      <c r="B17" s="39" t="n"/>
      <c r="C17" s="64" t="n"/>
      <c r="D17" s="64" t="n"/>
      <c r="E17" s="64" t="n"/>
      <c r="F17" s="64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  <c r="AY17" s="1" t="n"/>
      <c r="AZ17" s="1" t="n"/>
      <c r="BA17" s="1" t="n"/>
      <c r="BB17" s="1" t="n"/>
      <c r="BC17" s="1" t="n"/>
      <c r="BD17" s="1" t="n"/>
      <c r="BE17" s="1" t="n"/>
      <c r="BF17" s="1" t="n"/>
      <c r="BG17" s="1" t="n"/>
      <c r="BH17" s="1" t="n"/>
      <c r="BI17" s="1" t="n"/>
      <c r="BJ17" s="1" t="n"/>
      <c r="BK17" s="1" t="n"/>
      <c r="BL17" s="1" t="n"/>
      <c r="BM17" s="1" t="n"/>
      <c r="BN17" s="1" t="n"/>
      <c r="BO17" s="1" t="n"/>
      <c r="BP17" s="1" t="n"/>
      <c r="BQ17" s="1" t="n"/>
      <c r="BR17" s="1" t="n"/>
      <c r="BS17" s="1" t="n"/>
      <c r="BT17" s="1" t="n"/>
      <c r="BU17" s="1" t="n"/>
      <c r="BV17" s="1" t="n"/>
      <c r="BW17" s="1" t="n"/>
      <c r="BX17" s="1" t="n"/>
      <c r="BY17" s="1" t="n"/>
      <c r="BZ17" s="1" t="n"/>
      <c r="CA17" s="1" t="n"/>
      <c r="CB17" s="1" t="n"/>
      <c r="CC17" s="1" t="n"/>
      <c r="CD17" s="1" t="n"/>
      <c r="CE17" s="1" t="n"/>
      <c r="CF17" s="1" t="n"/>
      <c r="CG17" s="1" t="n"/>
      <c r="CH17" s="1" t="n"/>
      <c r="CI17" s="1" t="n"/>
      <c r="CJ17" s="1" t="n"/>
      <c r="CK17" s="1" t="n"/>
      <c r="CL17" s="1" t="n"/>
      <c r="CM17" s="1" t="n"/>
      <c r="CN17" s="1" t="n"/>
      <c r="CO17" s="1" t="n"/>
      <c r="CP17" s="1" t="n"/>
      <c r="CQ17" s="1" t="n"/>
      <c r="CR17" s="1" t="n"/>
      <c r="CS17" s="1" t="n"/>
      <c r="CT17" s="1" t="n"/>
      <c r="CU17" s="1" t="n"/>
      <c r="CV17" s="1" t="n"/>
      <c r="CW17" s="1" t="n"/>
      <c r="CX17" s="1" t="n"/>
      <c r="CY17" s="1" t="n"/>
      <c r="CZ17" s="1" t="n"/>
      <c r="DA17" s="1" t="n"/>
      <c r="DB17" s="1" t="n"/>
      <c r="DC17" s="1" t="n"/>
      <c r="DD17" s="1" t="n"/>
      <c r="DE17" s="1" t="n"/>
      <c r="DF17" s="1" t="n"/>
      <c r="DG17" s="1" t="n"/>
      <c r="DH17" s="1" t="n"/>
      <c r="DI17" s="1" t="n"/>
      <c r="DJ17" s="1" t="n"/>
      <c r="DK17" s="1" t="n"/>
      <c r="DL17" s="1" t="n"/>
      <c r="DM17" s="1" t="n"/>
      <c r="DN17" s="1" t="n"/>
      <c r="DO17" s="1" t="n"/>
      <c r="DP17" s="1" t="n"/>
      <c r="DQ17" s="1" t="n"/>
      <c r="DR17" s="1" t="n"/>
      <c r="DS17" s="1" t="n"/>
      <c r="DT17" s="1" t="n"/>
      <c r="DU17" s="1" t="n"/>
      <c r="DV17" s="1" t="n"/>
      <c r="DW17" s="1" t="n"/>
      <c r="DX17" s="1" t="n"/>
      <c r="DY17" s="1" t="n"/>
      <c r="DZ17" s="1" t="n"/>
      <c r="EA17" s="1" t="n"/>
      <c r="EB17" s="1" t="n"/>
      <c r="EC17" s="1" t="n"/>
      <c r="ED17" s="1" t="n"/>
      <c r="EE17" s="1" t="n"/>
      <c r="EF17" s="1" t="n"/>
      <c r="EG17" s="1" t="n"/>
      <c r="EH17" s="1" t="n"/>
      <c r="EI17" s="1" t="n"/>
      <c r="EJ17" s="1" t="n"/>
      <c r="EK17" s="1" t="n"/>
      <c r="EL17" s="1" t="n"/>
      <c r="EM17" s="1" t="n"/>
      <c r="EN17" s="1" t="n"/>
      <c r="EO17" s="1" t="n"/>
      <c r="EP17" s="1" t="n"/>
      <c r="EQ17" s="1" t="n"/>
      <c r="ER17" s="1" t="n"/>
      <c r="ES17" s="1" t="n"/>
      <c r="ET17" s="1" t="n"/>
      <c r="EU17" s="1" t="n"/>
      <c r="EV17" s="1" t="n"/>
      <c r="EW17" s="1" t="n"/>
      <c r="EX17" s="1" t="n"/>
      <c r="EY17" s="1" t="n"/>
      <c r="EZ17" s="1" t="n"/>
      <c r="FA17" s="1" t="n"/>
      <c r="FB17" s="1" t="n"/>
      <c r="FC17" s="1" t="n"/>
      <c r="FD17" s="1" t="n"/>
      <c r="FE17" s="1" t="n"/>
      <c r="FF17" s="1" t="n"/>
      <c r="FG17" s="1" t="n"/>
      <c r="FH17" s="1" t="n"/>
      <c r="FI17" s="1" t="n"/>
      <c r="FJ17" s="1" t="n"/>
      <c r="FK17" s="1" t="n"/>
      <c r="FL17" s="1" t="n"/>
      <c r="FM17" s="1" t="n"/>
      <c r="FN17" s="1" t="n"/>
      <c r="FO17" s="1" t="n"/>
      <c r="FP17" s="1" t="n"/>
      <c r="FQ17" s="1" t="n"/>
      <c r="FR17" s="1" t="n"/>
      <c r="FS17" s="1" t="n"/>
      <c r="FT17" s="1" t="n"/>
      <c r="FU17" s="1" t="n"/>
      <c r="FV17" s="1" t="n"/>
      <c r="FW17" s="1" t="n"/>
      <c r="FX17" s="1" t="n"/>
      <c r="FY17" s="1" t="n"/>
      <c r="FZ17" s="1" t="n"/>
      <c r="GA17" s="1" t="n"/>
      <c r="GB17" s="1" t="n"/>
      <c r="GC17" s="1" t="n"/>
      <c r="GD17" s="1" t="n"/>
      <c r="GE17" s="1" t="n"/>
      <c r="GF17" s="1" t="n"/>
      <c r="GG17" s="1" t="n"/>
      <c r="GH17" s="1" t="n"/>
      <c r="GI17" s="1" t="n"/>
      <c r="GJ17" s="1" t="n"/>
      <c r="GK17" s="1" t="n"/>
      <c r="GL17" s="1" t="n"/>
      <c r="GM17" s="1" t="n"/>
      <c r="GN17" s="1" t="n"/>
      <c r="GO17" s="1" t="n"/>
      <c r="GP17" s="1" t="n"/>
      <c r="GQ17" s="1" t="n"/>
      <c r="GR17" s="1" t="n"/>
      <c r="GS17" s="1" t="n"/>
      <c r="GT17" s="1" t="n"/>
      <c r="GU17" s="1" t="n"/>
      <c r="GV17" s="1" t="n"/>
      <c r="GW17" s="1" t="n"/>
      <c r="GX17" s="1" t="n"/>
      <c r="GY17" s="1" t="n"/>
      <c r="GZ17" s="1" t="n"/>
      <c r="HA17" s="1" t="n"/>
      <c r="HB17" s="1" t="n"/>
      <c r="HC17" s="1" t="n"/>
      <c r="HD17" s="1" t="n"/>
      <c r="HE17" s="1" t="n"/>
      <c r="HF17" s="1" t="n"/>
      <c r="HG17" s="1" t="n"/>
      <c r="HH17" s="1" t="n"/>
      <c r="HI17" s="1" t="n"/>
      <c r="HJ17" s="1" t="n"/>
      <c r="HK17" s="1" t="n"/>
      <c r="HL17" s="1" t="n"/>
      <c r="HM17" s="1" t="n"/>
      <c r="HN17" s="1" t="n"/>
      <c r="HO17" s="1" t="n"/>
      <c r="HP17" s="1" t="n"/>
      <c r="HQ17" s="1" t="n"/>
      <c r="HR17" s="1" t="n"/>
      <c r="HS17" s="1" t="n"/>
      <c r="HT17" s="1" t="n"/>
      <c r="HU17" s="1" t="n"/>
      <c r="HV17" s="1" t="n"/>
      <c r="HW17" s="1" t="n"/>
      <c r="HX17" s="1" t="n"/>
      <c r="HY17" s="1" t="n"/>
      <c r="HZ17" s="1" t="n"/>
      <c r="IA17" s="1" t="n"/>
      <c r="IB17" s="1" t="n"/>
      <c r="IC17" s="1" t="n"/>
      <c r="ID17" s="1" t="n"/>
      <c r="IE17" s="1" t="n"/>
      <c r="IF17" s="1" t="n"/>
      <c r="IG17" s="1" t="n"/>
      <c r="IH17" s="1" t="n"/>
      <c r="II17" s="1" t="n"/>
      <c r="IJ17" s="1" t="n"/>
      <c r="IK17" s="1" t="n"/>
      <c r="IL17" s="1" t="n"/>
      <c r="IM17" s="1" t="n"/>
      <c r="IN17" s="1" t="n"/>
      <c r="IO17" s="1" t="n"/>
      <c r="IP17" s="1" t="n"/>
      <c r="IQ17" s="1" t="n"/>
      <c r="IR17" s="1" t="n"/>
      <c r="IS17" s="1" t="n"/>
      <c r="IT17" s="1" t="n"/>
      <c r="IU17" s="1" t="n"/>
      <c r="IV17" s="1" t="n"/>
    </row>
    <row r="18" ht="15.5" customHeight="1">
      <c r="A18" s="1" t="n"/>
      <c r="B18" s="39" t="n"/>
      <c r="C18" s="64" t="n"/>
      <c r="D18" s="64" t="n"/>
      <c r="E18" s="64" t="n"/>
      <c r="F18" s="64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  <c r="AY18" s="1" t="n"/>
      <c r="AZ18" s="1" t="n"/>
      <c r="BA18" s="1" t="n"/>
      <c r="BB18" s="1" t="n"/>
      <c r="BC18" s="1" t="n"/>
      <c r="BD18" s="1" t="n"/>
      <c r="BE18" s="1" t="n"/>
      <c r="BF18" s="1" t="n"/>
      <c r="BG18" s="1" t="n"/>
      <c r="BH18" s="1" t="n"/>
      <c r="BI18" s="1" t="n"/>
      <c r="BJ18" s="1" t="n"/>
      <c r="BK18" s="1" t="n"/>
      <c r="BL18" s="1" t="n"/>
      <c r="BM18" s="1" t="n"/>
      <c r="BN18" s="1" t="n"/>
      <c r="BO18" s="1" t="n"/>
      <c r="BP18" s="1" t="n"/>
      <c r="BQ18" s="1" t="n"/>
      <c r="BR18" s="1" t="n"/>
      <c r="BS18" s="1" t="n"/>
      <c r="BT18" s="1" t="n"/>
      <c r="BU18" s="1" t="n"/>
      <c r="BV18" s="1" t="n"/>
      <c r="BW18" s="1" t="n"/>
      <c r="BX18" s="1" t="n"/>
      <c r="BY18" s="1" t="n"/>
      <c r="BZ18" s="1" t="n"/>
      <c r="CA18" s="1" t="n"/>
      <c r="CB18" s="1" t="n"/>
      <c r="CC18" s="1" t="n"/>
      <c r="CD18" s="1" t="n"/>
      <c r="CE18" s="1" t="n"/>
      <c r="CF18" s="1" t="n"/>
      <c r="CG18" s="1" t="n"/>
      <c r="CH18" s="1" t="n"/>
      <c r="CI18" s="1" t="n"/>
      <c r="CJ18" s="1" t="n"/>
      <c r="CK18" s="1" t="n"/>
      <c r="CL18" s="1" t="n"/>
      <c r="CM18" s="1" t="n"/>
      <c r="CN18" s="1" t="n"/>
      <c r="CO18" s="1" t="n"/>
      <c r="CP18" s="1" t="n"/>
      <c r="CQ18" s="1" t="n"/>
      <c r="CR18" s="1" t="n"/>
      <c r="CS18" s="1" t="n"/>
      <c r="CT18" s="1" t="n"/>
      <c r="CU18" s="1" t="n"/>
      <c r="CV18" s="1" t="n"/>
      <c r="CW18" s="1" t="n"/>
      <c r="CX18" s="1" t="n"/>
      <c r="CY18" s="1" t="n"/>
      <c r="CZ18" s="1" t="n"/>
      <c r="DA18" s="1" t="n"/>
      <c r="DB18" s="1" t="n"/>
      <c r="DC18" s="1" t="n"/>
      <c r="DD18" s="1" t="n"/>
      <c r="DE18" s="1" t="n"/>
      <c r="DF18" s="1" t="n"/>
      <c r="DG18" s="1" t="n"/>
      <c r="DH18" s="1" t="n"/>
      <c r="DI18" s="1" t="n"/>
      <c r="DJ18" s="1" t="n"/>
      <c r="DK18" s="1" t="n"/>
      <c r="DL18" s="1" t="n"/>
      <c r="DM18" s="1" t="n"/>
      <c r="DN18" s="1" t="n"/>
      <c r="DO18" s="1" t="n"/>
      <c r="DP18" s="1" t="n"/>
      <c r="DQ18" s="1" t="n"/>
      <c r="DR18" s="1" t="n"/>
      <c r="DS18" s="1" t="n"/>
      <c r="DT18" s="1" t="n"/>
      <c r="DU18" s="1" t="n"/>
      <c r="DV18" s="1" t="n"/>
      <c r="DW18" s="1" t="n"/>
      <c r="DX18" s="1" t="n"/>
      <c r="DY18" s="1" t="n"/>
      <c r="DZ18" s="1" t="n"/>
      <c r="EA18" s="1" t="n"/>
      <c r="EB18" s="1" t="n"/>
      <c r="EC18" s="1" t="n"/>
      <c r="ED18" s="1" t="n"/>
      <c r="EE18" s="1" t="n"/>
      <c r="EF18" s="1" t="n"/>
      <c r="EG18" s="1" t="n"/>
      <c r="EH18" s="1" t="n"/>
      <c r="EI18" s="1" t="n"/>
      <c r="EJ18" s="1" t="n"/>
      <c r="EK18" s="1" t="n"/>
      <c r="EL18" s="1" t="n"/>
      <c r="EM18" s="1" t="n"/>
      <c r="EN18" s="1" t="n"/>
      <c r="EO18" s="1" t="n"/>
      <c r="EP18" s="1" t="n"/>
      <c r="EQ18" s="1" t="n"/>
      <c r="ER18" s="1" t="n"/>
      <c r="ES18" s="1" t="n"/>
      <c r="ET18" s="1" t="n"/>
      <c r="EU18" s="1" t="n"/>
      <c r="EV18" s="1" t="n"/>
      <c r="EW18" s="1" t="n"/>
      <c r="EX18" s="1" t="n"/>
      <c r="EY18" s="1" t="n"/>
      <c r="EZ18" s="1" t="n"/>
      <c r="FA18" s="1" t="n"/>
      <c r="FB18" s="1" t="n"/>
      <c r="FC18" s="1" t="n"/>
      <c r="FD18" s="1" t="n"/>
      <c r="FE18" s="1" t="n"/>
      <c r="FF18" s="1" t="n"/>
      <c r="FG18" s="1" t="n"/>
      <c r="FH18" s="1" t="n"/>
      <c r="FI18" s="1" t="n"/>
      <c r="FJ18" s="1" t="n"/>
      <c r="FK18" s="1" t="n"/>
      <c r="FL18" s="1" t="n"/>
      <c r="FM18" s="1" t="n"/>
      <c r="FN18" s="1" t="n"/>
      <c r="FO18" s="1" t="n"/>
      <c r="FP18" s="1" t="n"/>
      <c r="FQ18" s="1" t="n"/>
      <c r="FR18" s="1" t="n"/>
      <c r="FS18" s="1" t="n"/>
      <c r="FT18" s="1" t="n"/>
      <c r="FU18" s="1" t="n"/>
      <c r="FV18" s="1" t="n"/>
      <c r="FW18" s="1" t="n"/>
      <c r="FX18" s="1" t="n"/>
      <c r="FY18" s="1" t="n"/>
      <c r="FZ18" s="1" t="n"/>
      <c r="GA18" s="1" t="n"/>
      <c r="GB18" s="1" t="n"/>
      <c r="GC18" s="1" t="n"/>
      <c r="GD18" s="1" t="n"/>
      <c r="GE18" s="1" t="n"/>
      <c r="GF18" s="1" t="n"/>
      <c r="GG18" s="1" t="n"/>
      <c r="GH18" s="1" t="n"/>
      <c r="GI18" s="1" t="n"/>
      <c r="GJ18" s="1" t="n"/>
      <c r="GK18" s="1" t="n"/>
      <c r="GL18" s="1" t="n"/>
      <c r="GM18" s="1" t="n"/>
      <c r="GN18" s="1" t="n"/>
      <c r="GO18" s="1" t="n"/>
      <c r="GP18" s="1" t="n"/>
      <c r="GQ18" s="1" t="n"/>
      <c r="GR18" s="1" t="n"/>
      <c r="GS18" s="1" t="n"/>
      <c r="GT18" s="1" t="n"/>
      <c r="GU18" s="1" t="n"/>
      <c r="GV18" s="1" t="n"/>
      <c r="GW18" s="1" t="n"/>
      <c r="GX18" s="1" t="n"/>
      <c r="GY18" s="1" t="n"/>
      <c r="GZ18" s="1" t="n"/>
      <c r="HA18" s="1" t="n"/>
      <c r="HB18" s="1" t="n"/>
      <c r="HC18" s="1" t="n"/>
      <c r="HD18" s="1" t="n"/>
      <c r="HE18" s="1" t="n"/>
      <c r="HF18" s="1" t="n"/>
      <c r="HG18" s="1" t="n"/>
      <c r="HH18" s="1" t="n"/>
      <c r="HI18" s="1" t="n"/>
      <c r="HJ18" s="1" t="n"/>
      <c r="HK18" s="1" t="n"/>
      <c r="HL18" s="1" t="n"/>
      <c r="HM18" s="1" t="n"/>
      <c r="HN18" s="1" t="n"/>
      <c r="HO18" s="1" t="n"/>
      <c r="HP18" s="1" t="n"/>
      <c r="HQ18" s="1" t="n"/>
      <c r="HR18" s="1" t="n"/>
      <c r="HS18" s="1" t="n"/>
      <c r="HT18" s="1" t="n"/>
      <c r="HU18" s="1" t="n"/>
      <c r="HV18" s="1" t="n"/>
      <c r="HW18" s="1" t="n"/>
      <c r="HX18" s="1" t="n"/>
      <c r="HY18" s="1" t="n"/>
      <c r="HZ18" s="1" t="n"/>
      <c r="IA18" s="1" t="n"/>
      <c r="IB18" s="1" t="n"/>
      <c r="IC18" s="1" t="n"/>
      <c r="ID18" s="1" t="n"/>
      <c r="IE18" s="1" t="n"/>
      <c r="IF18" s="1" t="n"/>
      <c r="IG18" s="1" t="n"/>
      <c r="IH18" s="1" t="n"/>
      <c r="II18" s="1" t="n"/>
      <c r="IJ18" s="1" t="n"/>
      <c r="IK18" s="1" t="n"/>
      <c r="IL18" s="1" t="n"/>
      <c r="IM18" s="1" t="n"/>
      <c r="IN18" s="1" t="n"/>
      <c r="IO18" s="1" t="n"/>
      <c r="IP18" s="1" t="n"/>
      <c r="IQ18" s="1" t="n"/>
      <c r="IR18" s="1" t="n"/>
      <c r="IS18" s="1" t="n"/>
      <c r="IT18" s="1" t="n"/>
      <c r="IU18" s="1" t="n"/>
      <c r="IV18" s="1" t="n"/>
    </row>
    <row r="19" ht="15.5" customHeight="1">
      <c r="A19" s="1" t="n"/>
      <c r="B19" s="39" t="n"/>
      <c r="C19" s="64" t="n"/>
      <c r="D19" s="64" t="n"/>
      <c r="E19" s="64" t="n"/>
      <c r="F19" s="64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1" t="n"/>
      <c r="BD19" s="1" t="n"/>
      <c r="BE19" s="1" t="n"/>
      <c r="BF19" s="1" t="n"/>
      <c r="BG19" s="1" t="n"/>
      <c r="BH19" s="1" t="n"/>
      <c r="BI19" s="1" t="n"/>
      <c r="BJ19" s="1" t="n"/>
      <c r="BK19" s="1" t="n"/>
      <c r="BL19" s="1" t="n"/>
      <c r="BM19" s="1" t="n"/>
      <c r="BN19" s="1" t="n"/>
      <c r="BO19" s="1" t="n"/>
      <c r="BP19" s="1" t="n"/>
      <c r="BQ19" s="1" t="n"/>
      <c r="BR19" s="1" t="n"/>
      <c r="BS19" s="1" t="n"/>
      <c r="BT19" s="1" t="n"/>
      <c r="BU19" s="1" t="n"/>
      <c r="BV19" s="1" t="n"/>
      <c r="BW19" s="1" t="n"/>
      <c r="BX19" s="1" t="n"/>
      <c r="BY19" s="1" t="n"/>
      <c r="BZ19" s="1" t="n"/>
      <c r="CA19" s="1" t="n"/>
      <c r="CB19" s="1" t="n"/>
      <c r="CC19" s="1" t="n"/>
      <c r="CD19" s="1" t="n"/>
      <c r="CE19" s="1" t="n"/>
      <c r="CF19" s="1" t="n"/>
      <c r="CG19" s="1" t="n"/>
      <c r="CH19" s="1" t="n"/>
      <c r="CI19" s="1" t="n"/>
      <c r="CJ19" s="1" t="n"/>
      <c r="CK19" s="1" t="n"/>
      <c r="CL19" s="1" t="n"/>
      <c r="CM19" s="1" t="n"/>
      <c r="CN19" s="1" t="n"/>
      <c r="CO19" s="1" t="n"/>
      <c r="CP19" s="1" t="n"/>
      <c r="CQ19" s="1" t="n"/>
      <c r="CR19" s="1" t="n"/>
      <c r="CS19" s="1" t="n"/>
      <c r="CT19" s="1" t="n"/>
      <c r="CU19" s="1" t="n"/>
      <c r="CV19" s="1" t="n"/>
      <c r="CW19" s="1" t="n"/>
      <c r="CX19" s="1" t="n"/>
      <c r="CY19" s="1" t="n"/>
      <c r="CZ19" s="1" t="n"/>
      <c r="DA19" s="1" t="n"/>
      <c r="DB19" s="1" t="n"/>
      <c r="DC19" s="1" t="n"/>
      <c r="DD19" s="1" t="n"/>
      <c r="DE19" s="1" t="n"/>
      <c r="DF19" s="1" t="n"/>
      <c r="DG19" s="1" t="n"/>
      <c r="DH19" s="1" t="n"/>
      <c r="DI19" s="1" t="n"/>
      <c r="DJ19" s="1" t="n"/>
      <c r="DK19" s="1" t="n"/>
      <c r="DL19" s="1" t="n"/>
      <c r="DM19" s="1" t="n"/>
      <c r="DN19" s="1" t="n"/>
      <c r="DO19" s="1" t="n"/>
      <c r="DP19" s="1" t="n"/>
      <c r="DQ19" s="1" t="n"/>
      <c r="DR19" s="1" t="n"/>
      <c r="DS19" s="1" t="n"/>
      <c r="DT19" s="1" t="n"/>
      <c r="DU19" s="1" t="n"/>
      <c r="DV19" s="1" t="n"/>
      <c r="DW19" s="1" t="n"/>
      <c r="DX19" s="1" t="n"/>
      <c r="DY19" s="1" t="n"/>
      <c r="DZ19" s="1" t="n"/>
      <c r="EA19" s="1" t="n"/>
      <c r="EB19" s="1" t="n"/>
      <c r="EC19" s="1" t="n"/>
      <c r="ED19" s="1" t="n"/>
      <c r="EE19" s="1" t="n"/>
      <c r="EF19" s="1" t="n"/>
      <c r="EG19" s="1" t="n"/>
      <c r="EH19" s="1" t="n"/>
      <c r="EI19" s="1" t="n"/>
      <c r="EJ19" s="1" t="n"/>
      <c r="EK19" s="1" t="n"/>
      <c r="EL19" s="1" t="n"/>
      <c r="EM19" s="1" t="n"/>
      <c r="EN19" s="1" t="n"/>
      <c r="EO19" s="1" t="n"/>
      <c r="EP19" s="1" t="n"/>
      <c r="EQ19" s="1" t="n"/>
      <c r="ER19" s="1" t="n"/>
      <c r="ES19" s="1" t="n"/>
      <c r="ET19" s="1" t="n"/>
      <c r="EU19" s="1" t="n"/>
      <c r="EV19" s="1" t="n"/>
      <c r="EW19" s="1" t="n"/>
      <c r="EX19" s="1" t="n"/>
      <c r="EY19" s="1" t="n"/>
      <c r="EZ19" s="1" t="n"/>
      <c r="FA19" s="1" t="n"/>
      <c r="FB19" s="1" t="n"/>
      <c r="FC19" s="1" t="n"/>
      <c r="FD19" s="1" t="n"/>
      <c r="FE19" s="1" t="n"/>
      <c r="FF19" s="1" t="n"/>
      <c r="FG19" s="1" t="n"/>
      <c r="FH19" s="1" t="n"/>
      <c r="FI19" s="1" t="n"/>
      <c r="FJ19" s="1" t="n"/>
      <c r="FK19" s="1" t="n"/>
      <c r="FL19" s="1" t="n"/>
      <c r="FM19" s="1" t="n"/>
      <c r="FN19" s="1" t="n"/>
      <c r="FO19" s="1" t="n"/>
      <c r="FP19" s="1" t="n"/>
      <c r="FQ19" s="1" t="n"/>
      <c r="FR19" s="1" t="n"/>
      <c r="FS19" s="1" t="n"/>
      <c r="FT19" s="1" t="n"/>
      <c r="FU19" s="1" t="n"/>
      <c r="FV19" s="1" t="n"/>
      <c r="FW19" s="1" t="n"/>
      <c r="FX19" s="1" t="n"/>
      <c r="FY19" s="1" t="n"/>
      <c r="FZ19" s="1" t="n"/>
      <c r="GA19" s="1" t="n"/>
      <c r="GB19" s="1" t="n"/>
      <c r="GC19" s="1" t="n"/>
      <c r="GD19" s="1" t="n"/>
      <c r="GE19" s="1" t="n"/>
      <c r="GF19" s="1" t="n"/>
      <c r="GG19" s="1" t="n"/>
      <c r="GH19" s="1" t="n"/>
      <c r="GI19" s="1" t="n"/>
      <c r="GJ19" s="1" t="n"/>
      <c r="GK19" s="1" t="n"/>
      <c r="GL19" s="1" t="n"/>
      <c r="GM19" s="1" t="n"/>
      <c r="GN19" s="1" t="n"/>
      <c r="GO19" s="1" t="n"/>
      <c r="GP19" s="1" t="n"/>
      <c r="GQ19" s="1" t="n"/>
      <c r="GR19" s="1" t="n"/>
      <c r="GS19" s="1" t="n"/>
      <c r="GT19" s="1" t="n"/>
      <c r="GU19" s="1" t="n"/>
      <c r="GV19" s="1" t="n"/>
      <c r="GW19" s="1" t="n"/>
      <c r="GX19" s="1" t="n"/>
      <c r="GY19" s="1" t="n"/>
      <c r="GZ19" s="1" t="n"/>
      <c r="HA19" s="1" t="n"/>
      <c r="HB19" s="1" t="n"/>
      <c r="HC19" s="1" t="n"/>
      <c r="HD19" s="1" t="n"/>
      <c r="HE19" s="1" t="n"/>
      <c r="HF19" s="1" t="n"/>
      <c r="HG19" s="1" t="n"/>
      <c r="HH19" s="1" t="n"/>
      <c r="HI19" s="1" t="n"/>
      <c r="HJ19" s="1" t="n"/>
      <c r="HK19" s="1" t="n"/>
      <c r="HL19" s="1" t="n"/>
      <c r="HM19" s="1" t="n"/>
      <c r="HN19" s="1" t="n"/>
      <c r="HO19" s="1" t="n"/>
      <c r="HP19" s="1" t="n"/>
      <c r="HQ19" s="1" t="n"/>
      <c r="HR19" s="1" t="n"/>
      <c r="HS19" s="1" t="n"/>
      <c r="HT19" s="1" t="n"/>
      <c r="HU19" s="1" t="n"/>
      <c r="HV19" s="1" t="n"/>
      <c r="HW19" s="1" t="n"/>
      <c r="HX19" s="1" t="n"/>
      <c r="HY19" s="1" t="n"/>
      <c r="HZ19" s="1" t="n"/>
      <c r="IA19" s="1" t="n"/>
      <c r="IB19" s="1" t="n"/>
      <c r="IC19" s="1" t="n"/>
      <c r="ID19" s="1" t="n"/>
      <c r="IE19" s="1" t="n"/>
      <c r="IF19" s="1" t="n"/>
      <c r="IG19" s="1" t="n"/>
      <c r="IH19" s="1" t="n"/>
      <c r="II19" s="1" t="n"/>
      <c r="IJ19" s="1" t="n"/>
      <c r="IK19" s="1" t="n"/>
      <c r="IL19" s="1" t="n"/>
      <c r="IM19" s="1" t="n"/>
      <c r="IN19" s="1" t="n"/>
      <c r="IO19" s="1" t="n"/>
      <c r="IP19" s="1" t="n"/>
      <c r="IQ19" s="1" t="n"/>
      <c r="IR19" s="1" t="n"/>
      <c r="IS19" s="1" t="n"/>
      <c r="IT19" s="1" t="n"/>
      <c r="IU19" s="1" t="n"/>
      <c r="IV19" s="1" t="n"/>
    </row>
    <row r="20" ht="15.5" customHeight="1">
      <c r="A20" s="1" t="n"/>
      <c r="B20" s="39" t="n"/>
      <c r="C20" s="64" t="n"/>
      <c r="D20" s="64" t="n"/>
      <c r="E20" s="64" t="n"/>
      <c r="F20" s="64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  <c r="AW20" s="1" t="n"/>
      <c r="AX20" s="1" t="n"/>
      <c r="AY20" s="1" t="n"/>
      <c r="AZ20" s="1" t="n"/>
      <c r="BA20" s="1" t="n"/>
      <c r="BB20" s="1" t="n"/>
      <c r="BC20" s="1" t="n"/>
      <c r="BD20" s="1" t="n"/>
      <c r="BE20" s="1" t="n"/>
      <c r="BF20" s="1" t="n"/>
      <c r="BG20" s="1" t="n"/>
      <c r="BH20" s="1" t="n"/>
      <c r="BI20" s="1" t="n"/>
      <c r="BJ20" s="1" t="n"/>
      <c r="BK20" s="1" t="n"/>
      <c r="BL20" s="1" t="n"/>
      <c r="BM20" s="1" t="n"/>
      <c r="BN20" s="1" t="n"/>
      <c r="BO20" s="1" t="n"/>
      <c r="BP20" s="1" t="n"/>
      <c r="BQ20" s="1" t="n"/>
      <c r="BR20" s="1" t="n"/>
      <c r="BS20" s="1" t="n"/>
      <c r="BT20" s="1" t="n"/>
      <c r="BU20" s="1" t="n"/>
      <c r="BV20" s="1" t="n"/>
      <c r="BW20" s="1" t="n"/>
      <c r="BX20" s="1" t="n"/>
      <c r="BY20" s="1" t="n"/>
      <c r="BZ20" s="1" t="n"/>
      <c r="CA20" s="1" t="n"/>
      <c r="CB20" s="1" t="n"/>
      <c r="CC20" s="1" t="n"/>
      <c r="CD20" s="1" t="n"/>
      <c r="CE20" s="1" t="n"/>
      <c r="CF20" s="1" t="n"/>
      <c r="CG20" s="1" t="n"/>
      <c r="CH20" s="1" t="n"/>
      <c r="CI20" s="1" t="n"/>
      <c r="CJ20" s="1" t="n"/>
      <c r="CK20" s="1" t="n"/>
      <c r="CL20" s="1" t="n"/>
      <c r="CM20" s="1" t="n"/>
      <c r="CN20" s="1" t="n"/>
      <c r="CO20" s="1" t="n"/>
      <c r="CP20" s="1" t="n"/>
      <c r="CQ20" s="1" t="n"/>
      <c r="CR20" s="1" t="n"/>
      <c r="CS20" s="1" t="n"/>
      <c r="CT20" s="1" t="n"/>
      <c r="CU20" s="1" t="n"/>
      <c r="CV20" s="1" t="n"/>
      <c r="CW20" s="1" t="n"/>
      <c r="CX20" s="1" t="n"/>
      <c r="CY20" s="1" t="n"/>
      <c r="CZ20" s="1" t="n"/>
      <c r="DA20" s="1" t="n"/>
      <c r="DB20" s="1" t="n"/>
      <c r="DC20" s="1" t="n"/>
      <c r="DD20" s="1" t="n"/>
      <c r="DE20" s="1" t="n"/>
      <c r="DF20" s="1" t="n"/>
      <c r="DG20" s="1" t="n"/>
      <c r="DH20" s="1" t="n"/>
      <c r="DI20" s="1" t="n"/>
      <c r="DJ20" s="1" t="n"/>
      <c r="DK20" s="1" t="n"/>
      <c r="DL20" s="1" t="n"/>
      <c r="DM20" s="1" t="n"/>
      <c r="DN20" s="1" t="n"/>
      <c r="DO20" s="1" t="n"/>
      <c r="DP20" s="1" t="n"/>
      <c r="DQ20" s="1" t="n"/>
      <c r="DR20" s="1" t="n"/>
      <c r="DS20" s="1" t="n"/>
      <c r="DT20" s="1" t="n"/>
      <c r="DU20" s="1" t="n"/>
      <c r="DV20" s="1" t="n"/>
      <c r="DW20" s="1" t="n"/>
      <c r="DX20" s="1" t="n"/>
      <c r="DY20" s="1" t="n"/>
      <c r="DZ20" s="1" t="n"/>
      <c r="EA20" s="1" t="n"/>
      <c r="EB20" s="1" t="n"/>
      <c r="EC20" s="1" t="n"/>
      <c r="ED20" s="1" t="n"/>
      <c r="EE20" s="1" t="n"/>
      <c r="EF20" s="1" t="n"/>
      <c r="EG20" s="1" t="n"/>
      <c r="EH20" s="1" t="n"/>
      <c r="EI20" s="1" t="n"/>
      <c r="EJ20" s="1" t="n"/>
      <c r="EK20" s="1" t="n"/>
      <c r="EL20" s="1" t="n"/>
      <c r="EM20" s="1" t="n"/>
      <c r="EN20" s="1" t="n"/>
      <c r="EO20" s="1" t="n"/>
      <c r="EP20" s="1" t="n"/>
      <c r="EQ20" s="1" t="n"/>
      <c r="ER20" s="1" t="n"/>
      <c r="ES20" s="1" t="n"/>
      <c r="ET20" s="1" t="n"/>
      <c r="EU20" s="1" t="n"/>
      <c r="EV20" s="1" t="n"/>
      <c r="EW20" s="1" t="n"/>
      <c r="EX20" s="1" t="n"/>
      <c r="EY20" s="1" t="n"/>
      <c r="EZ20" s="1" t="n"/>
      <c r="FA20" s="1" t="n"/>
      <c r="FB20" s="1" t="n"/>
      <c r="FC20" s="1" t="n"/>
      <c r="FD20" s="1" t="n"/>
      <c r="FE20" s="1" t="n"/>
      <c r="FF20" s="1" t="n"/>
      <c r="FG20" s="1" t="n"/>
      <c r="FH20" s="1" t="n"/>
      <c r="FI20" s="1" t="n"/>
      <c r="FJ20" s="1" t="n"/>
      <c r="FK20" s="1" t="n"/>
      <c r="FL20" s="1" t="n"/>
      <c r="FM20" s="1" t="n"/>
      <c r="FN20" s="1" t="n"/>
      <c r="FO20" s="1" t="n"/>
      <c r="FP20" s="1" t="n"/>
      <c r="FQ20" s="1" t="n"/>
      <c r="FR20" s="1" t="n"/>
      <c r="FS20" s="1" t="n"/>
      <c r="FT20" s="1" t="n"/>
      <c r="FU20" s="1" t="n"/>
      <c r="FV20" s="1" t="n"/>
      <c r="FW20" s="1" t="n"/>
      <c r="FX20" s="1" t="n"/>
      <c r="FY20" s="1" t="n"/>
      <c r="FZ20" s="1" t="n"/>
      <c r="GA20" s="1" t="n"/>
      <c r="GB20" s="1" t="n"/>
      <c r="GC20" s="1" t="n"/>
      <c r="GD20" s="1" t="n"/>
      <c r="GE20" s="1" t="n"/>
      <c r="GF20" s="1" t="n"/>
      <c r="GG20" s="1" t="n"/>
      <c r="GH20" s="1" t="n"/>
      <c r="GI20" s="1" t="n"/>
      <c r="GJ20" s="1" t="n"/>
      <c r="GK20" s="1" t="n"/>
      <c r="GL20" s="1" t="n"/>
      <c r="GM20" s="1" t="n"/>
      <c r="GN20" s="1" t="n"/>
      <c r="GO20" s="1" t="n"/>
      <c r="GP20" s="1" t="n"/>
      <c r="GQ20" s="1" t="n"/>
      <c r="GR20" s="1" t="n"/>
      <c r="GS20" s="1" t="n"/>
      <c r="GT20" s="1" t="n"/>
      <c r="GU20" s="1" t="n"/>
      <c r="GV20" s="1" t="n"/>
      <c r="GW20" s="1" t="n"/>
      <c r="GX20" s="1" t="n"/>
      <c r="GY20" s="1" t="n"/>
      <c r="GZ20" s="1" t="n"/>
      <c r="HA20" s="1" t="n"/>
      <c r="HB20" s="1" t="n"/>
      <c r="HC20" s="1" t="n"/>
      <c r="HD20" s="1" t="n"/>
      <c r="HE20" s="1" t="n"/>
      <c r="HF20" s="1" t="n"/>
      <c r="HG20" s="1" t="n"/>
      <c r="HH20" s="1" t="n"/>
      <c r="HI20" s="1" t="n"/>
      <c r="HJ20" s="1" t="n"/>
      <c r="HK20" s="1" t="n"/>
      <c r="HL20" s="1" t="n"/>
      <c r="HM20" s="1" t="n"/>
      <c r="HN20" s="1" t="n"/>
      <c r="HO20" s="1" t="n"/>
      <c r="HP20" s="1" t="n"/>
      <c r="HQ20" s="1" t="n"/>
      <c r="HR20" s="1" t="n"/>
      <c r="HS20" s="1" t="n"/>
      <c r="HT20" s="1" t="n"/>
      <c r="HU20" s="1" t="n"/>
      <c r="HV20" s="1" t="n"/>
      <c r="HW20" s="1" t="n"/>
      <c r="HX20" s="1" t="n"/>
      <c r="HY20" s="1" t="n"/>
      <c r="HZ20" s="1" t="n"/>
      <c r="IA20" s="1" t="n"/>
      <c r="IB20" s="1" t="n"/>
      <c r="IC20" s="1" t="n"/>
      <c r="ID20" s="1" t="n"/>
      <c r="IE20" s="1" t="n"/>
      <c r="IF20" s="1" t="n"/>
      <c r="IG20" s="1" t="n"/>
      <c r="IH20" s="1" t="n"/>
      <c r="II20" s="1" t="n"/>
      <c r="IJ20" s="1" t="n"/>
      <c r="IK20" s="1" t="n"/>
      <c r="IL20" s="1" t="n"/>
      <c r="IM20" s="1" t="n"/>
      <c r="IN20" s="1" t="n"/>
      <c r="IO20" s="1" t="n"/>
      <c r="IP20" s="1" t="n"/>
      <c r="IQ20" s="1" t="n"/>
      <c r="IR20" s="1" t="n"/>
      <c r="IS20" s="1" t="n"/>
      <c r="IT20" s="1" t="n"/>
      <c r="IU20" s="1" t="n"/>
      <c r="IV20" s="1" t="n"/>
    </row>
    <row r="21" ht="15.5" customHeight="1">
      <c r="A21" s="1" t="n"/>
      <c r="B21" s="39" t="n"/>
      <c r="C21" s="64" t="n"/>
      <c r="D21" s="64" t="n"/>
      <c r="E21" s="64" t="n"/>
      <c r="F21" s="64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  <c r="AW21" s="1" t="n"/>
      <c r="AX21" s="1" t="n"/>
      <c r="AY21" s="1" t="n"/>
      <c r="AZ21" s="1" t="n"/>
      <c r="BA21" s="1" t="n"/>
      <c r="BB21" s="1" t="n"/>
      <c r="BC21" s="1" t="n"/>
      <c r="BD21" s="1" t="n"/>
      <c r="BE21" s="1" t="n"/>
      <c r="BF21" s="1" t="n"/>
      <c r="BG21" s="1" t="n"/>
      <c r="BH21" s="1" t="n"/>
      <c r="BI21" s="1" t="n"/>
      <c r="BJ21" s="1" t="n"/>
      <c r="BK21" s="1" t="n"/>
      <c r="BL21" s="1" t="n"/>
      <c r="BM21" s="1" t="n"/>
      <c r="BN21" s="1" t="n"/>
      <c r="BO21" s="1" t="n"/>
      <c r="BP21" s="1" t="n"/>
      <c r="BQ21" s="1" t="n"/>
      <c r="BR21" s="1" t="n"/>
      <c r="BS21" s="1" t="n"/>
      <c r="BT21" s="1" t="n"/>
      <c r="BU21" s="1" t="n"/>
      <c r="BV21" s="1" t="n"/>
      <c r="BW21" s="1" t="n"/>
      <c r="BX21" s="1" t="n"/>
      <c r="BY21" s="1" t="n"/>
      <c r="BZ21" s="1" t="n"/>
      <c r="CA21" s="1" t="n"/>
      <c r="CB21" s="1" t="n"/>
      <c r="CC21" s="1" t="n"/>
      <c r="CD21" s="1" t="n"/>
      <c r="CE21" s="1" t="n"/>
      <c r="CF21" s="1" t="n"/>
      <c r="CG21" s="1" t="n"/>
      <c r="CH21" s="1" t="n"/>
      <c r="CI21" s="1" t="n"/>
      <c r="CJ21" s="1" t="n"/>
      <c r="CK21" s="1" t="n"/>
      <c r="CL21" s="1" t="n"/>
      <c r="CM21" s="1" t="n"/>
      <c r="CN21" s="1" t="n"/>
      <c r="CO21" s="1" t="n"/>
      <c r="CP21" s="1" t="n"/>
      <c r="CQ21" s="1" t="n"/>
      <c r="CR21" s="1" t="n"/>
      <c r="CS21" s="1" t="n"/>
      <c r="CT21" s="1" t="n"/>
      <c r="CU21" s="1" t="n"/>
      <c r="CV21" s="1" t="n"/>
      <c r="CW21" s="1" t="n"/>
      <c r="CX21" s="1" t="n"/>
      <c r="CY21" s="1" t="n"/>
      <c r="CZ21" s="1" t="n"/>
      <c r="DA21" s="1" t="n"/>
      <c r="DB21" s="1" t="n"/>
      <c r="DC21" s="1" t="n"/>
      <c r="DD21" s="1" t="n"/>
      <c r="DE21" s="1" t="n"/>
      <c r="DF21" s="1" t="n"/>
      <c r="DG21" s="1" t="n"/>
      <c r="DH21" s="1" t="n"/>
      <c r="DI21" s="1" t="n"/>
      <c r="DJ21" s="1" t="n"/>
      <c r="DK21" s="1" t="n"/>
      <c r="DL21" s="1" t="n"/>
      <c r="DM21" s="1" t="n"/>
      <c r="DN21" s="1" t="n"/>
      <c r="DO21" s="1" t="n"/>
      <c r="DP21" s="1" t="n"/>
      <c r="DQ21" s="1" t="n"/>
      <c r="DR21" s="1" t="n"/>
      <c r="DS21" s="1" t="n"/>
      <c r="DT21" s="1" t="n"/>
      <c r="DU21" s="1" t="n"/>
      <c r="DV21" s="1" t="n"/>
      <c r="DW21" s="1" t="n"/>
      <c r="DX21" s="1" t="n"/>
      <c r="DY21" s="1" t="n"/>
      <c r="DZ21" s="1" t="n"/>
      <c r="EA21" s="1" t="n"/>
      <c r="EB21" s="1" t="n"/>
      <c r="EC21" s="1" t="n"/>
      <c r="ED21" s="1" t="n"/>
      <c r="EE21" s="1" t="n"/>
      <c r="EF21" s="1" t="n"/>
      <c r="EG21" s="1" t="n"/>
      <c r="EH21" s="1" t="n"/>
      <c r="EI21" s="1" t="n"/>
      <c r="EJ21" s="1" t="n"/>
      <c r="EK21" s="1" t="n"/>
      <c r="EL21" s="1" t="n"/>
      <c r="EM21" s="1" t="n"/>
      <c r="EN21" s="1" t="n"/>
      <c r="EO21" s="1" t="n"/>
      <c r="EP21" s="1" t="n"/>
      <c r="EQ21" s="1" t="n"/>
      <c r="ER21" s="1" t="n"/>
      <c r="ES21" s="1" t="n"/>
      <c r="ET21" s="1" t="n"/>
      <c r="EU21" s="1" t="n"/>
      <c r="EV21" s="1" t="n"/>
      <c r="EW21" s="1" t="n"/>
      <c r="EX21" s="1" t="n"/>
      <c r="EY21" s="1" t="n"/>
      <c r="EZ21" s="1" t="n"/>
      <c r="FA21" s="1" t="n"/>
      <c r="FB21" s="1" t="n"/>
      <c r="FC21" s="1" t="n"/>
      <c r="FD21" s="1" t="n"/>
      <c r="FE21" s="1" t="n"/>
      <c r="FF21" s="1" t="n"/>
      <c r="FG21" s="1" t="n"/>
      <c r="FH21" s="1" t="n"/>
      <c r="FI21" s="1" t="n"/>
      <c r="FJ21" s="1" t="n"/>
      <c r="FK21" s="1" t="n"/>
      <c r="FL21" s="1" t="n"/>
      <c r="FM21" s="1" t="n"/>
      <c r="FN21" s="1" t="n"/>
      <c r="FO21" s="1" t="n"/>
      <c r="FP21" s="1" t="n"/>
      <c r="FQ21" s="1" t="n"/>
      <c r="FR21" s="1" t="n"/>
      <c r="FS21" s="1" t="n"/>
      <c r="FT21" s="1" t="n"/>
      <c r="FU21" s="1" t="n"/>
      <c r="FV21" s="1" t="n"/>
      <c r="FW21" s="1" t="n"/>
      <c r="FX21" s="1" t="n"/>
      <c r="FY21" s="1" t="n"/>
      <c r="FZ21" s="1" t="n"/>
      <c r="GA21" s="1" t="n"/>
      <c r="GB21" s="1" t="n"/>
      <c r="GC21" s="1" t="n"/>
      <c r="GD21" s="1" t="n"/>
      <c r="GE21" s="1" t="n"/>
      <c r="GF21" s="1" t="n"/>
      <c r="GG21" s="1" t="n"/>
      <c r="GH21" s="1" t="n"/>
      <c r="GI21" s="1" t="n"/>
      <c r="GJ21" s="1" t="n"/>
      <c r="GK21" s="1" t="n"/>
      <c r="GL21" s="1" t="n"/>
      <c r="GM21" s="1" t="n"/>
      <c r="GN21" s="1" t="n"/>
      <c r="GO21" s="1" t="n"/>
      <c r="GP21" s="1" t="n"/>
      <c r="GQ21" s="1" t="n"/>
      <c r="GR21" s="1" t="n"/>
      <c r="GS21" s="1" t="n"/>
      <c r="GT21" s="1" t="n"/>
      <c r="GU21" s="1" t="n"/>
      <c r="GV21" s="1" t="n"/>
      <c r="GW21" s="1" t="n"/>
      <c r="GX21" s="1" t="n"/>
      <c r="GY21" s="1" t="n"/>
      <c r="GZ21" s="1" t="n"/>
      <c r="HA21" s="1" t="n"/>
      <c r="HB21" s="1" t="n"/>
      <c r="HC21" s="1" t="n"/>
      <c r="HD21" s="1" t="n"/>
      <c r="HE21" s="1" t="n"/>
      <c r="HF21" s="1" t="n"/>
      <c r="HG21" s="1" t="n"/>
      <c r="HH21" s="1" t="n"/>
      <c r="HI21" s="1" t="n"/>
      <c r="HJ21" s="1" t="n"/>
      <c r="HK21" s="1" t="n"/>
      <c r="HL21" s="1" t="n"/>
      <c r="HM21" s="1" t="n"/>
      <c r="HN21" s="1" t="n"/>
      <c r="HO21" s="1" t="n"/>
      <c r="HP21" s="1" t="n"/>
      <c r="HQ21" s="1" t="n"/>
      <c r="HR21" s="1" t="n"/>
      <c r="HS21" s="1" t="n"/>
      <c r="HT21" s="1" t="n"/>
      <c r="HU21" s="1" t="n"/>
      <c r="HV21" s="1" t="n"/>
      <c r="HW21" s="1" t="n"/>
      <c r="HX21" s="1" t="n"/>
      <c r="HY21" s="1" t="n"/>
      <c r="HZ21" s="1" t="n"/>
      <c r="IA21" s="1" t="n"/>
      <c r="IB21" s="1" t="n"/>
      <c r="IC21" s="1" t="n"/>
      <c r="ID21" s="1" t="n"/>
      <c r="IE21" s="1" t="n"/>
      <c r="IF21" s="1" t="n"/>
      <c r="IG21" s="1" t="n"/>
      <c r="IH21" s="1" t="n"/>
      <c r="II21" s="1" t="n"/>
      <c r="IJ21" s="1" t="n"/>
      <c r="IK21" s="1" t="n"/>
      <c r="IL21" s="1" t="n"/>
      <c r="IM21" s="1" t="n"/>
      <c r="IN21" s="1" t="n"/>
      <c r="IO21" s="1" t="n"/>
      <c r="IP21" s="1" t="n"/>
      <c r="IQ21" s="1" t="n"/>
      <c r="IR21" s="1" t="n"/>
      <c r="IS21" s="1" t="n"/>
      <c r="IT21" s="1" t="n"/>
      <c r="IU21" s="1" t="n"/>
      <c r="IV21" s="1" t="n"/>
    </row>
    <row r="22" ht="15.5" customHeight="1">
      <c r="A22" s="1" t="n"/>
      <c r="B22" s="39" t="n"/>
      <c r="C22" s="64" t="n"/>
      <c r="D22" s="64" t="n"/>
      <c r="E22" s="64" t="n"/>
      <c r="F22" s="64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1" t="n"/>
      <c r="BG22" s="1" t="n"/>
      <c r="BH22" s="1" t="n"/>
      <c r="BI22" s="1" t="n"/>
      <c r="BJ22" s="1" t="n"/>
      <c r="BK22" s="1" t="n"/>
      <c r="BL22" s="1" t="n"/>
      <c r="BM22" s="1" t="n"/>
      <c r="BN22" s="1" t="n"/>
      <c r="BO22" s="1" t="n"/>
      <c r="BP22" s="1" t="n"/>
      <c r="BQ22" s="1" t="n"/>
      <c r="BR22" s="1" t="n"/>
      <c r="BS22" s="1" t="n"/>
      <c r="BT22" s="1" t="n"/>
      <c r="BU22" s="1" t="n"/>
      <c r="BV22" s="1" t="n"/>
      <c r="BW22" s="1" t="n"/>
      <c r="BX22" s="1" t="n"/>
      <c r="BY22" s="1" t="n"/>
      <c r="BZ22" s="1" t="n"/>
      <c r="CA22" s="1" t="n"/>
      <c r="CB22" s="1" t="n"/>
      <c r="CC22" s="1" t="n"/>
      <c r="CD22" s="1" t="n"/>
      <c r="CE22" s="1" t="n"/>
      <c r="CF22" s="1" t="n"/>
      <c r="CG22" s="1" t="n"/>
      <c r="CH22" s="1" t="n"/>
      <c r="CI22" s="1" t="n"/>
      <c r="CJ22" s="1" t="n"/>
      <c r="CK22" s="1" t="n"/>
      <c r="CL22" s="1" t="n"/>
      <c r="CM22" s="1" t="n"/>
      <c r="CN22" s="1" t="n"/>
      <c r="CO22" s="1" t="n"/>
      <c r="CP22" s="1" t="n"/>
      <c r="CQ22" s="1" t="n"/>
      <c r="CR22" s="1" t="n"/>
      <c r="CS22" s="1" t="n"/>
      <c r="CT22" s="1" t="n"/>
      <c r="CU22" s="1" t="n"/>
      <c r="CV22" s="1" t="n"/>
      <c r="CW22" s="1" t="n"/>
      <c r="CX22" s="1" t="n"/>
      <c r="CY22" s="1" t="n"/>
      <c r="CZ22" s="1" t="n"/>
      <c r="DA22" s="1" t="n"/>
      <c r="DB22" s="1" t="n"/>
      <c r="DC22" s="1" t="n"/>
      <c r="DD22" s="1" t="n"/>
      <c r="DE22" s="1" t="n"/>
      <c r="DF22" s="1" t="n"/>
      <c r="DG22" s="1" t="n"/>
      <c r="DH22" s="1" t="n"/>
      <c r="DI22" s="1" t="n"/>
      <c r="DJ22" s="1" t="n"/>
      <c r="DK22" s="1" t="n"/>
      <c r="DL22" s="1" t="n"/>
      <c r="DM22" s="1" t="n"/>
      <c r="DN22" s="1" t="n"/>
      <c r="DO22" s="1" t="n"/>
      <c r="DP22" s="1" t="n"/>
      <c r="DQ22" s="1" t="n"/>
      <c r="DR22" s="1" t="n"/>
      <c r="DS22" s="1" t="n"/>
      <c r="DT22" s="1" t="n"/>
      <c r="DU22" s="1" t="n"/>
      <c r="DV22" s="1" t="n"/>
      <c r="DW22" s="1" t="n"/>
      <c r="DX22" s="1" t="n"/>
      <c r="DY22" s="1" t="n"/>
      <c r="DZ22" s="1" t="n"/>
      <c r="EA22" s="1" t="n"/>
      <c r="EB22" s="1" t="n"/>
      <c r="EC22" s="1" t="n"/>
      <c r="ED22" s="1" t="n"/>
      <c r="EE22" s="1" t="n"/>
      <c r="EF22" s="1" t="n"/>
      <c r="EG22" s="1" t="n"/>
      <c r="EH22" s="1" t="n"/>
      <c r="EI22" s="1" t="n"/>
      <c r="EJ22" s="1" t="n"/>
      <c r="EK22" s="1" t="n"/>
      <c r="EL22" s="1" t="n"/>
      <c r="EM22" s="1" t="n"/>
      <c r="EN22" s="1" t="n"/>
      <c r="EO22" s="1" t="n"/>
      <c r="EP22" s="1" t="n"/>
      <c r="EQ22" s="1" t="n"/>
      <c r="ER22" s="1" t="n"/>
      <c r="ES22" s="1" t="n"/>
      <c r="ET22" s="1" t="n"/>
      <c r="EU22" s="1" t="n"/>
      <c r="EV22" s="1" t="n"/>
      <c r="EW22" s="1" t="n"/>
      <c r="EX22" s="1" t="n"/>
      <c r="EY22" s="1" t="n"/>
      <c r="EZ22" s="1" t="n"/>
      <c r="FA22" s="1" t="n"/>
      <c r="FB22" s="1" t="n"/>
      <c r="FC22" s="1" t="n"/>
      <c r="FD22" s="1" t="n"/>
      <c r="FE22" s="1" t="n"/>
      <c r="FF22" s="1" t="n"/>
      <c r="FG22" s="1" t="n"/>
      <c r="FH22" s="1" t="n"/>
      <c r="FI22" s="1" t="n"/>
      <c r="FJ22" s="1" t="n"/>
      <c r="FK22" s="1" t="n"/>
      <c r="FL22" s="1" t="n"/>
      <c r="FM22" s="1" t="n"/>
      <c r="FN22" s="1" t="n"/>
      <c r="FO22" s="1" t="n"/>
      <c r="FP22" s="1" t="n"/>
      <c r="FQ22" s="1" t="n"/>
      <c r="FR22" s="1" t="n"/>
      <c r="FS22" s="1" t="n"/>
      <c r="FT22" s="1" t="n"/>
      <c r="FU22" s="1" t="n"/>
      <c r="FV22" s="1" t="n"/>
      <c r="FW22" s="1" t="n"/>
      <c r="FX22" s="1" t="n"/>
      <c r="FY22" s="1" t="n"/>
      <c r="FZ22" s="1" t="n"/>
      <c r="GA22" s="1" t="n"/>
      <c r="GB22" s="1" t="n"/>
      <c r="GC22" s="1" t="n"/>
      <c r="GD22" s="1" t="n"/>
      <c r="GE22" s="1" t="n"/>
      <c r="GF22" s="1" t="n"/>
      <c r="GG22" s="1" t="n"/>
      <c r="GH22" s="1" t="n"/>
      <c r="GI22" s="1" t="n"/>
      <c r="GJ22" s="1" t="n"/>
      <c r="GK22" s="1" t="n"/>
      <c r="GL22" s="1" t="n"/>
      <c r="GM22" s="1" t="n"/>
      <c r="GN22" s="1" t="n"/>
      <c r="GO22" s="1" t="n"/>
      <c r="GP22" s="1" t="n"/>
      <c r="GQ22" s="1" t="n"/>
      <c r="GR22" s="1" t="n"/>
      <c r="GS22" s="1" t="n"/>
      <c r="GT22" s="1" t="n"/>
      <c r="GU22" s="1" t="n"/>
      <c r="GV22" s="1" t="n"/>
      <c r="GW22" s="1" t="n"/>
      <c r="GX22" s="1" t="n"/>
      <c r="GY22" s="1" t="n"/>
      <c r="GZ22" s="1" t="n"/>
      <c r="HA22" s="1" t="n"/>
      <c r="HB22" s="1" t="n"/>
      <c r="HC22" s="1" t="n"/>
      <c r="HD22" s="1" t="n"/>
      <c r="HE22" s="1" t="n"/>
      <c r="HF22" s="1" t="n"/>
      <c r="HG22" s="1" t="n"/>
      <c r="HH22" s="1" t="n"/>
      <c r="HI22" s="1" t="n"/>
      <c r="HJ22" s="1" t="n"/>
      <c r="HK22" s="1" t="n"/>
      <c r="HL22" s="1" t="n"/>
      <c r="HM22" s="1" t="n"/>
      <c r="HN22" s="1" t="n"/>
      <c r="HO22" s="1" t="n"/>
      <c r="HP22" s="1" t="n"/>
      <c r="HQ22" s="1" t="n"/>
      <c r="HR22" s="1" t="n"/>
      <c r="HS22" s="1" t="n"/>
      <c r="HT22" s="1" t="n"/>
      <c r="HU22" s="1" t="n"/>
      <c r="HV22" s="1" t="n"/>
      <c r="HW22" s="1" t="n"/>
      <c r="HX22" s="1" t="n"/>
      <c r="HY22" s="1" t="n"/>
      <c r="HZ22" s="1" t="n"/>
      <c r="IA22" s="1" t="n"/>
      <c r="IB22" s="1" t="n"/>
      <c r="IC22" s="1" t="n"/>
      <c r="ID22" s="1" t="n"/>
      <c r="IE22" s="1" t="n"/>
      <c r="IF22" s="1" t="n"/>
      <c r="IG22" s="1" t="n"/>
      <c r="IH22" s="1" t="n"/>
      <c r="II22" s="1" t="n"/>
      <c r="IJ22" s="1" t="n"/>
      <c r="IK22" s="1" t="n"/>
      <c r="IL22" s="1" t="n"/>
      <c r="IM22" s="1" t="n"/>
      <c r="IN22" s="1" t="n"/>
      <c r="IO22" s="1" t="n"/>
      <c r="IP22" s="1" t="n"/>
      <c r="IQ22" s="1" t="n"/>
      <c r="IR22" s="1" t="n"/>
      <c r="IS22" s="1" t="n"/>
      <c r="IT22" s="1" t="n"/>
      <c r="IU22" s="1" t="n"/>
      <c r="IV22" s="1" t="n"/>
    </row>
    <row r="23" ht="15.5" customHeight="1">
      <c r="A23" s="1" t="n"/>
      <c r="B23" s="39" t="n"/>
      <c r="C23" s="64" t="n"/>
      <c r="D23" s="64" t="n"/>
      <c r="E23" s="64" t="n"/>
      <c r="F23" s="64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1" t="n"/>
      <c r="AY23" s="1" t="n"/>
      <c r="AZ23" s="1" t="n"/>
      <c r="BA23" s="1" t="n"/>
      <c r="BB23" s="1" t="n"/>
      <c r="BC23" s="1" t="n"/>
      <c r="BD23" s="1" t="n"/>
      <c r="BE23" s="1" t="n"/>
      <c r="BF23" s="1" t="n"/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1" t="n"/>
      <c r="BQ23" s="1" t="n"/>
      <c r="BR23" s="1" t="n"/>
      <c r="BS23" s="1" t="n"/>
      <c r="BT23" s="1" t="n"/>
      <c r="BU23" s="1" t="n"/>
      <c r="BV23" s="1" t="n"/>
      <c r="BW23" s="1" t="n"/>
      <c r="BX23" s="1" t="n"/>
      <c r="BY23" s="1" t="n"/>
      <c r="BZ23" s="1" t="n"/>
      <c r="CA23" s="1" t="n"/>
      <c r="CB23" s="1" t="n"/>
      <c r="CC23" s="1" t="n"/>
      <c r="CD23" s="1" t="n"/>
      <c r="CE23" s="1" t="n"/>
      <c r="CF23" s="1" t="n"/>
      <c r="CG23" s="1" t="n"/>
      <c r="CH23" s="1" t="n"/>
      <c r="CI23" s="1" t="n"/>
      <c r="CJ23" s="1" t="n"/>
      <c r="CK23" s="1" t="n"/>
      <c r="CL23" s="1" t="n"/>
      <c r="CM23" s="1" t="n"/>
      <c r="CN23" s="1" t="n"/>
      <c r="CO23" s="1" t="n"/>
      <c r="CP23" s="1" t="n"/>
      <c r="CQ23" s="1" t="n"/>
      <c r="CR23" s="1" t="n"/>
      <c r="CS23" s="1" t="n"/>
      <c r="CT23" s="1" t="n"/>
      <c r="CU23" s="1" t="n"/>
      <c r="CV23" s="1" t="n"/>
      <c r="CW23" s="1" t="n"/>
      <c r="CX23" s="1" t="n"/>
      <c r="CY23" s="1" t="n"/>
      <c r="CZ23" s="1" t="n"/>
      <c r="DA23" s="1" t="n"/>
      <c r="DB23" s="1" t="n"/>
      <c r="DC23" s="1" t="n"/>
      <c r="DD23" s="1" t="n"/>
      <c r="DE23" s="1" t="n"/>
      <c r="DF23" s="1" t="n"/>
      <c r="DG23" s="1" t="n"/>
      <c r="DH23" s="1" t="n"/>
      <c r="DI23" s="1" t="n"/>
      <c r="DJ23" s="1" t="n"/>
      <c r="DK23" s="1" t="n"/>
      <c r="DL23" s="1" t="n"/>
      <c r="DM23" s="1" t="n"/>
      <c r="DN23" s="1" t="n"/>
      <c r="DO23" s="1" t="n"/>
      <c r="DP23" s="1" t="n"/>
      <c r="DQ23" s="1" t="n"/>
      <c r="DR23" s="1" t="n"/>
      <c r="DS23" s="1" t="n"/>
      <c r="DT23" s="1" t="n"/>
      <c r="DU23" s="1" t="n"/>
      <c r="DV23" s="1" t="n"/>
      <c r="DW23" s="1" t="n"/>
      <c r="DX23" s="1" t="n"/>
      <c r="DY23" s="1" t="n"/>
      <c r="DZ23" s="1" t="n"/>
      <c r="EA23" s="1" t="n"/>
      <c r="EB23" s="1" t="n"/>
      <c r="EC23" s="1" t="n"/>
      <c r="ED23" s="1" t="n"/>
      <c r="EE23" s="1" t="n"/>
      <c r="EF23" s="1" t="n"/>
      <c r="EG23" s="1" t="n"/>
      <c r="EH23" s="1" t="n"/>
      <c r="EI23" s="1" t="n"/>
      <c r="EJ23" s="1" t="n"/>
      <c r="EK23" s="1" t="n"/>
      <c r="EL23" s="1" t="n"/>
      <c r="EM23" s="1" t="n"/>
      <c r="EN23" s="1" t="n"/>
      <c r="EO23" s="1" t="n"/>
      <c r="EP23" s="1" t="n"/>
      <c r="EQ23" s="1" t="n"/>
      <c r="ER23" s="1" t="n"/>
      <c r="ES23" s="1" t="n"/>
      <c r="ET23" s="1" t="n"/>
      <c r="EU23" s="1" t="n"/>
      <c r="EV23" s="1" t="n"/>
      <c r="EW23" s="1" t="n"/>
      <c r="EX23" s="1" t="n"/>
      <c r="EY23" s="1" t="n"/>
      <c r="EZ23" s="1" t="n"/>
      <c r="FA23" s="1" t="n"/>
      <c r="FB23" s="1" t="n"/>
      <c r="FC23" s="1" t="n"/>
      <c r="FD23" s="1" t="n"/>
      <c r="FE23" s="1" t="n"/>
      <c r="FF23" s="1" t="n"/>
      <c r="FG23" s="1" t="n"/>
      <c r="FH23" s="1" t="n"/>
      <c r="FI23" s="1" t="n"/>
      <c r="FJ23" s="1" t="n"/>
      <c r="FK23" s="1" t="n"/>
      <c r="FL23" s="1" t="n"/>
      <c r="FM23" s="1" t="n"/>
      <c r="FN23" s="1" t="n"/>
      <c r="FO23" s="1" t="n"/>
      <c r="FP23" s="1" t="n"/>
      <c r="FQ23" s="1" t="n"/>
      <c r="FR23" s="1" t="n"/>
      <c r="FS23" s="1" t="n"/>
      <c r="FT23" s="1" t="n"/>
      <c r="FU23" s="1" t="n"/>
      <c r="FV23" s="1" t="n"/>
      <c r="FW23" s="1" t="n"/>
      <c r="FX23" s="1" t="n"/>
      <c r="FY23" s="1" t="n"/>
      <c r="FZ23" s="1" t="n"/>
      <c r="GA23" s="1" t="n"/>
      <c r="GB23" s="1" t="n"/>
      <c r="GC23" s="1" t="n"/>
      <c r="GD23" s="1" t="n"/>
      <c r="GE23" s="1" t="n"/>
      <c r="GF23" s="1" t="n"/>
      <c r="GG23" s="1" t="n"/>
      <c r="GH23" s="1" t="n"/>
      <c r="GI23" s="1" t="n"/>
      <c r="GJ23" s="1" t="n"/>
      <c r="GK23" s="1" t="n"/>
      <c r="GL23" s="1" t="n"/>
      <c r="GM23" s="1" t="n"/>
      <c r="GN23" s="1" t="n"/>
      <c r="GO23" s="1" t="n"/>
      <c r="GP23" s="1" t="n"/>
      <c r="GQ23" s="1" t="n"/>
      <c r="GR23" s="1" t="n"/>
      <c r="GS23" s="1" t="n"/>
      <c r="GT23" s="1" t="n"/>
      <c r="GU23" s="1" t="n"/>
      <c r="GV23" s="1" t="n"/>
      <c r="GW23" s="1" t="n"/>
      <c r="GX23" s="1" t="n"/>
      <c r="GY23" s="1" t="n"/>
      <c r="GZ23" s="1" t="n"/>
      <c r="HA23" s="1" t="n"/>
      <c r="HB23" s="1" t="n"/>
      <c r="HC23" s="1" t="n"/>
      <c r="HD23" s="1" t="n"/>
      <c r="HE23" s="1" t="n"/>
      <c r="HF23" s="1" t="n"/>
      <c r="HG23" s="1" t="n"/>
      <c r="HH23" s="1" t="n"/>
      <c r="HI23" s="1" t="n"/>
      <c r="HJ23" s="1" t="n"/>
      <c r="HK23" s="1" t="n"/>
      <c r="HL23" s="1" t="n"/>
      <c r="HM23" s="1" t="n"/>
      <c r="HN23" s="1" t="n"/>
      <c r="HO23" s="1" t="n"/>
      <c r="HP23" s="1" t="n"/>
      <c r="HQ23" s="1" t="n"/>
      <c r="HR23" s="1" t="n"/>
      <c r="HS23" s="1" t="n"/>
      <c r="HT23" s="1" t="n"/>
      <c r="HU23" s="1" t="n"/>
      <c r="HV23" s="1" t="n"/>
      <c r="HW23" s="1" t="n"/>
      <c r="HX23" s="1" t="n"/>
      <c r="HY23" s="1" t="n"/>
      <c r="HZ23" s="1" t="n"/>
      <c r="IA23" s="1" t="n"/>
      <c r="IB23" s="1" t="n"/>
      <c r="IC23" s="1" t="n"/>
      <c r="ID23" s="1" t="n"/>
      <c r="IE23" s="1" t="n"/>
      <c r="IF23" s="1" t="n"/>
      <c r="IG23" s="1" t="n"/>
      <c r="IH23" s="1" t="n"/>
      <c r="II23" s="1" t="n"/>
      <c r="IJ23" s="1" t="n"/>
      <c r="IK23" s="1" t="n"/>
      <c r="IL23" s="1" t="n"/>
      <c r="IM23" s="1" t="n"/>
      <c r="IN23" s="1" t="n"/>
      <c r="IO23" s="1" t="n"/>
      <c r="IP23" s="1" t="n"/>
      <c r="IQ23" s="1" t="n"/>
      <c r="IR23" s="1" t="n"/>
      <c r="IS23" s="1" t="n"/>
      <c r="IT23" s="1" t="n"/>
      <c r="IU23" s="1" t="n"/>
      <c r="IV23" s="1" t="n"/>
    </row>
    <row r="24" ht="15.5" customHeight="1">
      <c r="A24" s="1" t="n"/>
      <c r="B24" s="39" t="n"/>
      <c r="C24" s="64" t="n"/>
      <c r="D24" s="64" t="n"/>
      <c r="E24" s="64" t="n"/>
      <c r="F24" s="64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  <c r="AY24" s="1" t="n"/>
      <c r="AZ24" s="1" t="n"/>
      <c r="BA24" s="1" t="n"/>
      <c r="BB24" s="1" t="n"/>
      <c r="BC24" s="1" t="n"/>
      <c r="BD24" s="1" t="n"/>
      <c r="BE24" s="1" t="n"/>
      <c r="BF24" s="1" t="n"/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" t="n"/>
      <c r="BQ24" s="1" t="n"/>
      <c r="BR24" s="1" t="n"/>
      <c r="BS24" s="1" t="n"/>
      <c r="BT24" s="1" t="n"/>
      <c r="BU24" s="1" t="n"/>
      <c r="BV24" s="1" t="n"/>
      <c r="BW24" s="1" t="n"/>
      <c r="BX24" s="1" t="n"/>
      <c r="BY24" s="1" t="n"/>
      <c r="BZ24" s="1" t="n"/>
      <c r="CA24" s="1" t="n"/>
      <c r="CB24" s="1" t="n"/>
      <c r="CC24" s="1" t="n"/>
      <c r="CD24" s="1" t="n"/>
      <c r="CE24" s="1" t="n"/>
      <c r="CF24" s="1" t="n"/>
      <c r="CG24" s="1" t="n"/>
      <c r="CH24" s="1" t="n"/>
      <c r="CI24" s="1" t="n"/>
      <c r="CJ24" s="1" t="n"/>
      <c r="CK24" s="1" t="n"/>
      <c r="CL24" s="1" t="n"/>
      <c r="CM24" s="1" t="n"/>
      <c r="CN24" s="1" t="n"/>
      <c r="CO24" s="1" t="n"/>
      <c r="CP24" s="1" t="n"/>
      <c r="CQ24" s="1" t="n"/>
      <c r="CR24" s="1" t="n"/>
      <c r="CS24" s="1" t="n"/>
      <c r="CT24" s="1" t="n"/>
      <c r="CU24" s="1" t="n"/>
      <c r="CV24" s="1" t="n"/>
      <c r="CW24" s="1" t="n"/>
      <c r="CX24" s="1" t="n"/>
      <c r="CY24" s="1" t="n"/>
      <c r="CZ24" s="1" t="n"/>
      <c r="DA24" s="1" t="n"/>
      <c r="DB24" s="1" t="n"/>
      <c r="DC24" s="1" t="n"/>
      <c r="DD24" s="1" t="n"/>
      <c r="DE24" s="1" t="n"/>
      <c r="DF24" s="1" t="n"/>
      <c r="DG24" s="1" t="n"/>
      <c r="DH24" s="1" t="n"/>
      <c r="DI24" s="1" t="n"/>
      <c r="DJ24" s="1" t="n"/>
      <c r="DK24" s="1" t="n"/>
      <c r="DL24" s="1" t="n"/>
      <c r="DM24" s="1" t="n"/>
      <c r="DN24" s="1" t="n"/>
      <c r="DO24" s="1" t="n"/>
      <c r="DP24" s="1" t="n"/>
      <c r="DQ24" s="1" t="n"/>
      <c r="DR24" s="1" t="n"/>
      <c r="DS24" s="1" t="n"/>
      <c r="DT24" s="1" t="n"/>
      <c r="DU24" s="1" t="n"/>
      <c r="DV24" s="1" t="n"/>
      <c r="DW24" s="1" t="n"/>
      <c r="DX24" s="1" t="n"/>
      <c r="DY24" s="1" t="n"/>
      <c r="DZ24" s="1" t="n"/>
      <c r="EA24" s="1" t="n"/>
      <c r="EB24" s="1" t="n"/>
      <c r="EC24" s="1" t="n"/>
      <c r="ED24" s="1" t="n"/>
      <c r="EE24" s="1" t="n"/>
      <c r="EF24" s="1" t="n"/>
      <c r="EG24" s="1" t="n"/>
      <c r="EH24" s="1" t="n"/>
      <c r="EI24" s="1" t="n"/>
      <c r="EJ24" s="1" t="n"/>
      <c r="EK24" s="1" t="n"/>
      <c r="EL24" s="1" t="n"/>
      <c r="EM24" s="1" t="n"/>
      <c r="EN24" s="1" t="n"/>
      <c r="EO24" s="1" t="n"/>
      <c r="EP24" s="1" t="n"/>
      <c r="EQ24" s="1" t="n"/>
      <c r="ER24" s="1" t="n"/>
      <c r="ES24" s="1" t="n"/>
      <c r="ET24" s="1" t="n"/>
      <c r="EU24" s="1" t="n"/>
      <c r="EV24" s="1" t="n"/>
      <c r="EW24" s="1" t="n"/>
      <c r="EX24" s="1" t="n"/>
      <c r="EY24" s="1" t="n"/>
      <c r="EZ24" s="1" t="n"/>
      <c r="FA24" s="1" t="n"/>
      <c r="FB24" s="1" t="n"/>
      <c r="FC24" s="1" t="n"/>
      <c r="FD24" s="1" t="n"/>
      <c r="FE24" s="1" t="n"/>
      <c r="FF24" s="1" t="n"/>
      <c r="FG24" s="1" t="n"/>
      <c r="FH24" s="1" t="n"/>
      <c r="FI24" s="1" t="n"/>
      <c r="FJ24" s="1" t="n"/>
      <c r="FK24" s="1" t="n"/>
      <c r="FL24" s="1" t="n"/>
      <c r="FM24" s="1" t="n"/>
      <c r="FN24" s="1" t="n"/>
      <c r="FO24" s="1" t="n"/>
      <c r="FP24" s="1" t="n"/>
      <c r="FQ24" s="1" t="n"/>
      <c r="FR24" s="1" t="n"/>
      <c r="FS24" s="1" t="n"/>
      <c r="FT24" s="1" t="n"/>
      <c r="FU24" s="1" t="n"/>
      <c r="FV24" s="1" t="n"/>
      <c r="FW24" s="1" t="n"/>
      <c r="FX24" s="1" t="n"/>
      <c r="FY24" s="1" t="n"/>
      <c r="FZ24" s="1" t="n"/>
      <c r="GA24" s="1" t="n"/>
      <c r="GB24" s="1" t="n"/>
      <c r="GC24" s="1" t="n"/>
      <c r="GD24" s="1" t="n"/>
      <c r="GE24" s="1" t="n"/>
      <c r="GF24" s="1" t="n"/>
      <c r="GG24" s="1" t="n"/>
      <c r="GH24" s="1" t="n"/>
      <c r="GI24" s="1" t="n"/>
      <c r="GJ24" s="1" t="n"/>
      <c r="GK24" s="1" t="n"/>
      <c r="GL24" s="1" t="n"/>
      <c r="GM24" s="1" t="n"/>
      <c r="GN24" s="1" t="n"/>
      <c r="GO24" s="1" t="n"/>
      <c r="GP24" s="1" t="n"/>
      <c r="GQ24" s="1" t="n"/>
      <c r="GR24" s="1" t="n"/>
      <c r="GS24" s="1" t="n"/>
      <c r="GT24" s="1" t="n"/>
      <c r="GU24" s="1" t="n"/>
      <c r="GV24" s="1" t="n"/>
      <c r="GW24" s="1" t="n"/>
      <c r="GX24" s="1" t="n"/>
      <c r="GY24" s="1" t="n"/>
      <c r="GZ24" s="1" t="n"/>
      <c r="HA24" s="1" t="n"/>
      <c r="HB24" s="1" t="n"/>
      <c r="HC24" s="1" t="n"/>
      <c r="HD24" s="1" t="n"/>
      <c r="HE24" s="1" t="n"/>
      <c r="HF24" s="1" t="n"/>
      <c r="HG24" s="1" t="n"/>
      <c r="HH24" s="1" t="n"/>
      <c r="HI24" s="1" t="n"/>
      <c r="HJ24" s="1" t="n"/>
      <c r="HK24" s="1" t="n"/>
      <c r="HL24" s="1" t="n"/>
      <c r="HM24" s="1" t="n"/>
      <c r="HN24" s="1" t="n"/>
      <c r="HO24" s="1" t="n"/>
      <c r="HP24" s="1" t="n"/>
      <c r="HQ24" s="1" t="n"/>
      <c r="HR24" s="1" t="n"/>
      <c r="HS24" s="1" t="n"/>
      <c r="HT24" s="1" t="n"/>
      <c r="HU24" s="1" t="n"/>
      <c r="HV24" s="1" t="n"/>
      <c r="HW24" s="1" t="n"/>
      <c r="HX24" s="1" t="n"/>
      <c r="HY24" s="1" t="n"/>
      <c r="HZ24" s="1" t="n"/>
      <c r="IA24" s="1" t="n"/>
      <c r="IB24" s="1" t="n"/>
      <c r="IC24" s="1" t="n"/>
      <c r="ID24" s="1" t="n"/>
      <c r="IE24" s="1" t="n"/>
      <c r="IF24" s="1" t="n"/>
      <c r="IG24" s="1" t="n"/>
      <c r="IH24" s="1" t="n"/>
      <c r="II24" s="1" t="n"/>
      <c r="IJ24" s="1" t="n"/>
      <c r="IK24" s="1" t="n"/>
      <c r="IL24" s="1" t="n"/>
      <c r="IM24" s="1" t="n"/>
      <c r="IN24" s="1" t="n"/>
      <c r="IO24" s="1" t="n"/>
      <c r="IP24" s="1" t="n"/>
      <c r="IQ24" s="1" t="n"/>
      <c r="IR24" s="1" t="n"/>
      <c r="IS24" s="1" t="n"/>
      <c r="IT24" s="1" t="n"/>
      <c r="IU24" s="1" t="n"/>
      <c r="IV24" s="1" t="n"/>
    </row>
    <row r="25" ht="15.5" customHeight="1">
      <c r="A25" s="1" t="n"/>
      <c r="B25" s="39" t="n"/>
      <c r="C25" s="64" t="n"/>
      <c r="D25" s="64" t="n"/>
      <c r="E25" s="64" t="n"/>
      <c r="F25" s="64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" t="n"/>
      <c r="AY25" s="1" t="n"/>
      <c r="AZ25" s="1" t="n"/>
      <c r="BA25" s="1" t="n"/>
      <c r="BB25" s="1" t="n"/>
      <c r="BC25" s="1" t="n"/>
      <c r="BD25" s="1" t="n"/>
      <c r="BE25" s="1" t="n"/>
      <c r="BF25" s="1" t="n"/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" t="n"/>
      <c r="BQ25" s="1" t="n"/>
      <c r="BR25" s="1" t="n"/>
      <c r="BS25" s="1" t="n"/>
      <c r="BT25" s="1" t="n"/>
      <c r="BU25" s="1" t="n"/>
      <c r="BV25" s="1" t="n"/>
      <c r="BW25" s="1" t="n"/>
      <c r="BX25" s="1" t="n"/>
      <c r="BY25" s="1" t="n"/>
      <c r="BZ25" s="1" t="n"/>
      <c r="CA25" s="1" t="n"/>
      <c r="CB25" s="1" t="n"/>
      <c r="CC25" s="1" t="n"/>
      <c r="CD25" s="1" t="n"/>
      <c r="CE25" s="1" t="n"/>
      <c r="CF25" s="1" t="n"/>
      <c r="CG25" s="1" t="n"/>
      <c r="CH25" s="1" t="n"/>
      <c r="CI25" s="1" t="n"/>
      <c r="CJ25" s="1" t="n"/>
      <c r="CK25" s="1" t="n"/>
      <c r="CL25" s="1" t="n"/>
      <c r="CM25" s="1" t="n"/>
      <c r="CN25" s="1" t="n"/>
      <c r="CO25" s="1" t="n"/>
      <c r="CP25" s="1" t="n"/>
      <c r="CQ25" s="1" t="n"/>
      <c r="CR25" s="1" t="n"/>
      <c r="CS25" s="1" t="n"/>
      <c r="CT25" s="1" t="n"/>
      <c r="CU25" s="1" t="n"/>
      <c r="CV25" s="1" t="n"/>
      <c r="CW25" s="1" t="n"/>
      <c r="CX25" s="1" t="n"/>
      <c r="CY25" s="1" t="n"/>
      <c r="CZ25" s="1" t="n"/>
      <c r="DA25" s="1" t="n"/>
      <c r="DB25" s="1" t="n"/>
      <c r="DC25" s="1" t="n"/>
      <c r="DD25" s="1" t="n"/>
      <c r="DE25" s="1" t="n"/>
      <c r="DF25" s="1" t="n"/>
      <c r="DG25" s="1" t="n"/>
      <c r="DH25" s="1" t="n"/>
      <c r="DI25" s="1" t="n"/>
      <c r="DJ25" s="1" t="n"/>
      <c r="DK25" s="1" t="n"/>
      <c r="DL25" s="1" t="n"/>
      <c r="DM25" s="1" t="n"/>
      <c r="DN25" s="1" t="n"/>
      <c r="DO25" s="1" t="n"/>
      <c r="DP25" s="1" t="n"/>
      <c r="DQ25" s="1" t="n"/>
      <c r="DR25" s="1" t="n"/>
      <c r="DS25" s="1" t="n"/>
      <c r="DT25" s="1" t="n"/>
      <c r="DU25" s="1" t="n"/>
      <c r="DV25" s="1" t="n"/>
      <c r="DW25" s="1" t="n"/>
      <c r="DX25" s="1" t="n"/>
      <c r="DY25" s="1" t="n"/>
      <c r="DZ25" s="1" t="n"/>
      <c r="EA25" s="1" t="n"/>
      <c r="EB25" s="1" t="n"/>
      <c r="EC25" s="1" t="n"/>
      <c r="ED25" s="1" t="n"/>
      <c r="EE25" s="1" t="n"/>
      <c r="EF25" s="1" t="n"/>
      <c r="EG25" s="1" t="n"/>
      <c r="EH25" s="1" t="n"/>
      <c r="EI25" s="1" t="n"/>
      <c r="EJ25" s="1" t="n"/>
      <c r="EK25" s="1" t="n"/>
      <c r="EL25" s="1" t="n"/>
      <c r="EM25" s="1" t="n"/>
      <c r="EN25" s="1" t="n"/>
      <c r="EO25" s="1" t="n"/>
      <c r="EP25" s="1" t="n"/>
      <c r="EQ25" s="1" t="n"/>
      <c r="ER25" s="1" t="n"/>
      <c r="ES25" s="1" t="n"/>
      <c r="ET25" s="1" t="n"/>
      <c r="EU25" s="1" t="n"/>
      <c r="EV25" s="1" t="n"/>
      <c r="EW25" s="1" t="n"/>
      <c r="EX25" s="1" t="n"/>
      <c r="EY25" s="1" t="n"/>
      <c r="EZ25" s="1" t="n"/>
      <c r="FA25" s="1" t="n"/>
      <c r="FB25" s="1" t="n"/>
      <c r="FC25" s="1" t="n"/>
      <c r="FD25" s="1" t="n"/>
      <c r="FE25" s="1" t="n"/>
      <c r="FF25" s="1" t="n"/>
      <c r="FG25" s="1" t="n"/>
      <c r="FH25" s="1" t="n"/>
      <c r="FI25" s="1" t="n"/>
      <c r="FJ25" s="1" t="n"/>
      <c r="FK25" s="1" t="n"/>
      <c r="FL25" s="1" t="n"/>
      <c r="FM25" s="1" t="n"/>
      <c r="FN25" s="1" t="n"/>
      <c r="FO25" s="1" t="n"/>
      <c r="FP25" s="1" t="n"/>
      <c r="FQ25" s="1" t="n"/>
      <c r="FR25" s="1" t="n"/>
      <c r="FS25" s="1" t="n"/>
      <c r="FT25" s="1" t="n"/>
      <c r="FU25" s="1" t="n"/>
      <c r="FV25" s="1" t="n"/>
      <c r="FW25" s="1" t="n"/>
      <c r="FX25" s="1" t="n"/>
      <c r="FY25" s="1" t="n"/>
      <c r="FZ25" s="1" t="n"/>
      <c r="GA25" s="1" t="n"/>
      <c r="GB25" s="1" t="n"/>
      <c r="GC25" s="1" t="n"/>
      <c r="GD25" s="1" t="n"/>
      <c r="GE25" s="1" t="n"/>
      <c r="GF25" s="1" t="n"/>
      <c r="GG25" s="1" t="n"/>
      <c r="GH25" s="1" t="n"/>
      <c r="GI25" s="1" t="n"/>
      <c r="GJ25" s="1" t="n"/>
      <c r="GK25" s="1" t="n"/>
      <c r="GL25" s="1" t="n"/>
      <c r="GM25" s="1" t="n"/>
      <c r="GN25" s="1" t="n"/>
      <c r="GO25" s="1" t="n"/>
      <c r="GP25" s="1" t="n"/>
      <c r="GQ25" s="1" t="n"/>
      <c r="GR25" s="1" t="n"/>
      <c r="GS25" s="1" t="n"/>
      <c r="GT25" s="1" t="n"/>
      <c r="GU25" s="1" t="n"/>
      <c r="GV25" s="1" t="n"/>
      <c r="GW25" s="1" t="n"/>
      <c r="GX25" s="1" t="n"/>
      <c r="GY25" s="1" t="n"/>
      <c r="GZ25" s="1" t="n"/>
      <c r="HA25" s="1" t="n"/>
      <c r="HB25" s="1" t="n"/>
      <c r="HC25" s="1" t="n"/>
      <c r="HD25" s="1" t="n"/>
      <c r="HE25" s="1" t="n"/>
      <c r="HF25" s="1" t="n"/>
      <c r="HG25" s="1" t="n"/>
      <c r="HH25" s="1" t="n"/>
      <c r="HI25" s="1" t="n"/>
      <c r="HJ25" s="1" t="n"/>
      <c r="HK25" s="1" t="n"/>
      <c r="HL25" s="1" t="n"/>
      <c r="HM25" s="1" t="n"/>
      <c r="HN25" s="1" t="n"/>
      <c r="HO25" s="1" t="n"/>
      <c r="HP25" s="1" t="n"/>
      <c r="HQ25" s="1" t="n"/>
      <c r="HR25" s="1" t="n"/>
      <c r="HS25" s="1" t="n"/>
      <c r="HT25" s="1" t="n"/>
      <c r="HU25" s="1" t="n"/>
      <c r="HV25" s="1" t="n"/>
      <c r="HW25" s="1" t="n"/>
      <c r="HX25" s="1" t="n"/>
      <c r="HY25" s="1" t="n"/>
      <c r="HZ25" s="1" t="n"/>
      <c r="IA25" s="1" t="n"/>
      <c r="IB25" s="1" t="n"/>
      <c r="IC25" s="1" t="n"/>
      <c r="ID25" s="1" t="n"/>
      <c r="IE25" s="1" t="n"/>
      <c r="IF25" s="1" t="n"/>
      <c r="IG25" s="1" t="n"/>
      <c r="IH25" s="1" t="n"/>
      <c r="II25" s="1" t="n"/>
      <c r="IJ25" s="1" t="n"/>
      <c r="IK25" s="1" t="n"/>
      <c r="IL25" s="1" t="n"/>
      <c r="IM25" s="1" t="n"/>
      <c r="IN25" s="1" t="n"/>
      <c r="IO25" s="1" t="n"/>
      <c r="IP25" s="1" t="n"/>
      <c r="IQ25" s="1" t="n"/>
      <c r="IR25" s="1" t="n"/>
      <c r="IS25" s="1" t="n"/>
      <c r="IT25" s="1" t="n"/>
      <c r="IU25" s="1" t="n"/>
      <c r="IV25" s="1" t="n"/>
    </row>
    <row r="26" ht="15.5" customHeight="1">
      <c r="A26" s="1" t="n"/>
      <c r="B26" s="39" t="n"/>
      <c r="C26" s="64" t="n"/>
      <c r="D26" s="64" t="n"/>
      <c r="E26" s="64" t="n"/>
      <c r="F26" s="64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" t="n"/>
      <c r="AY26" s="1" t="n"/>
      <c r="AZ26" s="1" t="n"/>
      <c r="BA26" s="1" t="n"/>
      <c r="BB26" s="1" t="n"/>
      <c r="BC26" s="1" t="n"/>
      <c r="BD26" s="1" t="n"/>
      <c r="BE26" s="1" t="n"/>
      <c r="BF26" s="1" t="n"/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" t="n"/>
      <c r="BQ26" s="1" t="n"/>
      <c r="BR26" s="1" t="n"/>
      <c r="BS26" s="1" t="n"/>
      <c r="BT26" s="1" t="n"/>
      <c r="BU26" s="1" t="n"/>
      <c r="BV26" s="1" t="n"/>
      <c r="BW26" s="1" t="n"/>
      <c r="BX26" s="1" t="n"/>
      <c r="BY26" s="1" t="n"/>
      <c r="BZ26" s="1" t="n"/>
      <c r="CA26" s="1" t="n"/>
      <c r="CB26" s="1" t="n"/>
      <c r="CC26" s="1" t="n"/>
      <c r="CD26" s="1" t="n"/>
      <c r="CE26" s="1" t="n"/>
      <c r="CF26" s="1" t="n"/>
      <c r="CG26" s="1" t="n"/>
      <c r="CH26" s="1" t="n"/>
      <c r="CI26" s="1" t="n"/>
      <c r="CJ26" s="1" t="n"/>
      <c r="CK26" s="1" t="n"/>
      <c r="CL26" s="1" t="n"/>
      <c r="CM26" s="1" t="n"/>
      <c r="CN26" s="1" t="n"/>
      <c r="CO26" s="1" t="n"/>
      <c r="CP26" s="1" t="n"/>
      <c r="CQ26" s="1" t="n"/>
      <c r="CR26" s="1" t="n"/>
      <c r="CS26" s="1" t="n"/>
      <c r="CT26" s="1" t="n"/>
      <c r="CU26" s="1" t="n"/>
      <c r="CV26" s="1" t="n"/>
      <c r="CW26" s="1" t="n"/>
      <c r="CX26" s="1" t="n"/>
      <c r="CY26" s="1" t="n"/>
      <c r="CZ26" s="1" t="n"/>
      <c r="DA26" s="1" t="n"/>
      <c r="DB26" s="1" t="n"/>
      <c r="DC26" s="1" t="n"/>
      <c r="DD26" s="1" t="n"/>
      <c r="DE26" s="1" t="n"/>
      <c r="DF26" s="1" t="n"/>
      <c r="DG26" s="1" t="n"/>
      <c r="DH26" s="1" t="n"/>
      <c r="DI26" s="1" t="n"/>
      <c r="DJ26" s="1" t="n"/>
      <c r="DK26" s="1" t="n"/>
      <c r="DL26" s="1" t="n"/>
      <c r="DM26" s="1" t="n"/>
      <c r="DN26" s="1" t="n"/>
      <c r="DO26" s="1" t="n"/>
      <c r="DP26" s="1" t="n"/>
      <c r="DQ26" s="1" t="n"/>
      <c r="DR26" s="1" t="n"/>
      <c r="DS26" s="1" t="n"/>
      <c r="DT26" s="1" t="n"/>
      <c r="DU26" s="1" t="n"/>
      <c r="DV26" s="1" t="n"/>
      <c r="DW26" s="1" t="n"/>
      <c r="DX26" s="1" t="n"/>
      <c r="DY26" s="1" t="n"/>
      <c r="DZ26" s="1" t="n"/>
      <c r="EA26" s="1" t="n"/>
      <c r="EB26" s="1" t="n"/>
      <c r="EC26" s="1" t="n"/>
      <c r="ED26" s="1" t="n"/>
      <c r="EE26" s="1" t="n"/>
      <c r="EF26" s="1" t="n"/>
      <c r="EG26" s="1" t="n"/>
      <c r="EH26" s="1" t="n"/>
      <c r="EI26" s="1" t="n"/>
      <c r="EJ26" s="1" t="n"/>
      <c r="EK26" s="1" t="n"/>
      <c r="EL26" s="1" t="n"/>
      <c r="EM26" s="1" t="n"/>
      <c r="EN26" s="1" t="n"/>
      <c r="EO26" s="1" t="n"/>
      <c r="EP26" s="1" t="n"/>
      <c r="EQ26" s="1" t="n"/>
      <c r="ER26" s="1" t="n"/>
      <c r="ES26" s="1" t="n"/>
      <c r="ET26" s="1" t="n"/>
      <c r="EU26" s="1" t="n"/>
      <c r="EV26" s="1" t="n"/>
      <c r="EW26" s="1" t="n"/>
      <c r="EX26" s="1" t="n"/>
      <c r="EY26" s="1" t="n"/>
      <c r="EZ26" s="1" t="n"/>
      <c r="FA26" s="1" t="n"/>
      <c r="FB26" s="1" t="n"/>
      <c r="FC26" s="1" t="n"/>
      <c r="FD26" s="1" t="n"/>
      <c r="FE26" s="1" t="n"/>
      <c r="FF26" s="1" t="n"/>
      <c r="FG26" s="1" t="n"/>
      <c r="FH26" s="1" t="n"/>
      <c r="FI26" s="1" t="n"/>
      <c r="FJ26" s="1" t="n"/>
      <c r="FK26" s="1" t="n"/>
      <c r="FL26" s="1" t="n"/>
      <c r="FM26" s="1" t="n"/>
      <c r="FN26" s="1" t="n"/>
      <c r="FO26" s="1" t="n"/>
      <c r="FP26" s="1" t="n"/>
      <c r="FQ26" s="1" t="n"/>
      <c r="FR26" s="1" t="n"/>
      <c r="FS26" s="1" t="n"/>
      <c r="FT26" s="1" t="n"/>
      <c r="FU26" s="1" t="n"/>
      <c r="FV26" s="1" t="n"/>
      <c r="FW26" s="1" t="n"/>
      <c r="FX26" s="1" t="n"/>
      <c r="FY26" s="1" t="n"/>
      <c r="FZ26" s="1" t="n"/>
      <c r="GA26" s="1" t="n"/>
      <c r="GB26" s="1" t="n"/>
      <c r="GC26" s="1" t="n"/>
      <c r="GD26" s="1" t="n"/>
      <c r="GE26" s="1" t="n"/>
      <c r="GF26" s="1" t="n"/>
      <c r="GG26" s="1" t="n"/>
      <c r="GH26" s="1" t="n"/>
      <c r="GI26" s="1" t="n"/>
      <c r="GJ26" s="1" t="n"/>
      <c r="GK26" s="1" t="n"/>
      <c r="GL26" s="1" t="n"/>
      <c r="GM26" s="1" t="n"/>
      <c r="GN26" s="1" t="n"/>
      <c r="GO26" s="1" t="n"/>
      <c r="GP26" s="1" t="n"/>
      <c r="GQ26" s="1" t="n"/>
      <c r="GR26" s="1" t="n"/>
      <c r="GS26" s="1" t="n"/>
      <c r="GT26" s="1" t="n"/>
      <c r="GU26" s="1" t="n"/>
      <c r="GV26" s="1" t="n"/>
      <c r="GW26" s="1" t="n"/>
      <c r="GX26" s="1" t="n"/>
      <c r="GY26" s="1" t="n"/>
      <c r="GZ26" s="1" t="n"/>
      <c r="HA26" s="1" t="n"/>
      <c r="HB26" s="1" t="n"/>
      <c r="HC26" s="1" t="n"/>
      <c r="HD26" s="1" t="n"/>
      <c r="HE26" s="1" t="n"/>
      <c r="HF26" s="1" t="n"/>
      <c r="HG26" s="1" t="n"/>
      <c r="HH26" s="1" t="n"/>
      <c r="HI26" s="1" t="n"/>
      <c r="HJ26" s="1" t="n"/>
      <c r="HK26" s="1" t="n"/>
      <c r="HL26" s="1" t="n"/>
      <c r="HM26" s="1" t="n"/>
      <c r="HN26" s="1" t="n"/>
      <c r="HO26" s="1" t="n"/>
      <c r="HP26" s="1" t="n"/>
      <c r="HQ26" s="1" t="n"/>
      <c r="HR26" s="1" t="n"/>
      <c r="HS26" s="1" t="n"/>
      <c r="HT26" s="1" t="n"/>
      <c r="HU26" s="1" t="n"/>
      <c r="HV26" s="1" t="n"/>
      <c r="HW26" s="1" t="n"/>
      <c r="HX26" s="1" t="n"/>
      <c r="HY26" s="1" t="n"/>
      <c r="HZ26" s="1" t="n"/>
      <c r="IA26" s="1" t="n"/>
      <c r="IB26" s="1" t="n"/>
      <c r="IC26" s="1" t="n"/>
      <c r="ID26" s="1" t="n"/>
      <c r="IE26" s="1" t="n"/>
      <c r="IF26" s="1" t="n"/>
      <c r="IG26" s="1" t="n"/>
      <c r="IH26" s="1" t="n"/>
      <c r="II26" s="1" t="n"/>
      <c r="IJ26" s="1" t="n"/>
      <c r="IK26" s="1" t="n"/>
      <c r="IL26" s="1" t="n"/>
      <c r="IM26" s="1" t="n"/>
      <c r="IN26" s="1" t="n"/>
      <c r="IO26" s="1" t="n"/>
      <c r="IP26" s="1" t="n"/>
      <c r="IQ26" s="1" t="n"/>
      <c r="IR26" s="1" t="n"/>
      <c r="IS26" s="1" t="n"/>
      <c r="IT26" s="1" t="n"/>
      <c r="IU26" s="1" t="n"/>
      <c r="IV26" s="1" t="n"/>
    </row>
    <row r="27" ht="15.5" customHeight="1">
      <c r="A27" s="1" t="n"/>
      <c r="B27" s="39" t="n"/>
      <c r="C27" s="64" t="n"/>
      <c r="D27" s="64" t="n"/>
      <c r="E27" s="64" t="n"/>
      <c r="F27" s="64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  <c r="AY27" s="1" t="n"/>
      <c r="AZ27" s="1" t="n"/>
      <c r="BA27" s="1" t="n"/>
      <c r="BB27" s="1" t="n"/>
      <c r="BC27" s="1" t="n"/>
      <c r="BD27" s="1" t="n"/>
      <c r="BE27" s="1" t="n"/>
      <c r="BF27" s="1" t="n"/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" t="n"/>
      <c r="BQ27" s="1" t="n"/>
      <c r="BR27" s="1" t="n"/>
      <c r="BS27" s="1" t="n"/>
      <c r="BT27" s="1" t="n"/>
      <c r="BU27" s="1" t="n"/>
      <c r="BV27" s="1" t="n"/>
      <c r="BW27" s="1" t="n"/>
      <c r="BX27" s="1" t="n"/>
      <c r="BY27" s="1" t="n"/>
      <c r="BZ27" s="1" t="n"/>
      <c r="CA27" s="1" t="n"/>
      <c r="CB27" s="1" t="n"/>
      <c r="CC27" s="1" t="n"/>
      <c r="CD27" s="1" t="n"/>
      <c r="CE27" s="1" t="n"/>
      <c r="CF27" s="1" t="n"/>
      <c r="CG27" s="1" t="n"/>
      <c r="CH27" s="1" t="n"/>
      <c r="CI27" s="1" t="n"/>
      <c r="CJ27" s="1" t="n"/>
      <c r="CK27" s="1" t="n"/>
      <c r="CL27" s="1" t="n"/>
      <c r="CM27" s="1" t="n"/>
      <c r="CN27" s="1" t="n"/>
      <c r="CO27" s="1" t="n"/>
      <c r="CP27" s="1" t="n"/>
      <c r="CQ27" s="1" t="n"/>
      <c r="CR27" s="1" t="n"/>
      <c r="CS27" s="1" t="n"/>
      <c r="CT27" s="1" t="n"/>
      <c r="CU27" s="1" t="n"/>
      <c r="CV27" s="1" t="n"/>
      <c r="CW27" s="1" t="n"/>
      <c r="CX27" s="1" t="n"/>
      <c r="CY27" s="1" t="n"/>
      <c r="CZ27" s="1" t="n"/>
      <c r="DA27" s="1" t="n"/>
      <c r="DB27" s="1" t="n"/>
      <c r="DC27" s="1" t="n"/>
      <c r="DD27" s="1" t="n"/>
      <c r="DE27" s="1" t="n"/>
      <c r="DF27" s="1" t="n"/>
      <c r="DG27" s="1" t="n"/>
      <c r="DH27" s="1" t="n"/>
      <c r="DI27" s="1" t="n"/>
      <c r="DJ27" s="1" t="n"/>
      <c r="DK27" s="1" t="n"/>
      <c r="DL27" s="1" t="n"/>
      <c r="DM27" s="1" t="n"/>
      <c r="DN27" s="1" t="n"/>
      <c r="DO27" s="1" t="n"/>
      <c r="DP27" s="1" t="n"/>
      <c r="DQ27" s="1" t="n"/>
      <c r="DR27" s="1" t="n"/>
      <c r="DS27" s="1" t="n"/>
      <c r="DT27" s="1" t="n"/>
      <c r="DU27" s="1" t="n"/>
      <c r="DV27" s="1" t="n"/>
      <c r="DW27" s="1" t="n"/>
      <c r="DX27" s="1" t="n"/>
      <c r="DY27" s="1" t="n"/>
      <c r="DZ27" s="1" t="n"/>
      <c r="EA27" s="1" t="n"/>
      <c r="EB27" s="1" t="n"/>
      <c r="EC27" s="1" t="n"/>
      <c r="ED27" s="1" t="n"/>
      <c r="EE27" s="1" t="n"/>
      <c r="EF27" s="1" t="n"/>
      <c r="EG27" s="1" t="n"/>
      <c r="EH27" s="1" t="n"/>
      <c r="EI27" s="1" t="n"/>
      <c r="EJ27" s="1" t="n"/>
      <c r="EK27" s="1" t="n"/>
      <c r="EL27" s="1" t="n"/>
      <c r="EM27" s="1" t="n"/>
      <c r="EN27" s="1" t="n"/>
      <c r="EO27" s="1" t="n"/>
      <c r="EP27" s="1" t="n"/>
      <c r="EQ27" s="1" t="n"/>
      <c r="ER27" s="1" t="n"/>
      <c r="ES27" s="1" t="n"/>
      <c r="ET27" s="1" t="n"/>
      <c r="EU27" s="1" t="n"/>
      <c r="EV27" s="1" t="n"/>
      <c r="EW27" s="1" t="n"/>
      <c r="EX27" s="1" t="n"/>
      <c r="EY27" s="1" t="n"/>
      <c r="EZ27" s="1" t="n"/>
      <c r="FA27" s="1" t="n"/>
      <c r="FB27" s="1" t="n"/>
      <c r="FC27" s="1" t="n"/>
      <c r="FD27" s="1" t="n"/>
      <c r="FE27" s="1" t="n"/>
      <c r="FF27" s="1" t="n"/>
      <c r="FG27" s="1" t="n"/>
      <c r="FH27" s="1" t="n"/>
      <c r="FI27" s="1" t="n"/>
      <c r="FJ27" s="1" t="n"/>
      <c r="FK27" s="1" t="n"/>
      <c r="FL27" s="1" t="n"/>
      <c r="FM27" s="1" t="n"/>
      <c r="FN27" s="1" t="n"/>
      <c r="FO27" s="1" t="n"/>
      <c r="FP27" s="1" t="n"/>
      <c r="FQ27" s="1" t="n"/>
      <c r="FR27" s="1" t="n"/>
      <c r="FS27" s="1" t="n"/>
      <c r="FT27" s="1" t="n"/>
      <c r="FU27" s="1" t="n"/>
      <c r="FV27" s="1" t="n"/>
      <c r="FW27" s="1" t="n"/>
      <c r="FX27" s="1" t="n"/>
      <c r="FY27" s="1" t="n"/>
      <c r="FZ27" s="1" t="n"/>
      <c r="GA27" s="1" t="n"/>
      <c r="GB27" s="1" t="n"/>
      <c r="GC27" s="1" t="n"/>
      <c r="GD27" s="1" t="n"/>
      <c r="GE27" s="1" t="n"/>
      <c r="GF27" s="1" t="n"/>
      <c r="GG27" s="1" t="n"/>
      <c r="GH27" s="1" t="n"/>
      <c r="GI27" s="1" t="n"/>
      <c r="GJ27" s="1" t="n"/>
      <c r="GK27" s="1" t="n"/>
      <c r="GL27" s="1" t="n"/>
      <c r="GM27" s="1" t="n"/>
      <c r="GN27" s="1" t="n"/>
      <c r="GO27" s="1" t="n"/>
      <c r="GP27" s="1" t="n"/>
      <c r="GQ27" s="1" t="n"/>
      <c r="GR27" s="1" t="n"/>
      <c r="GS27" s="1" t="n"/>
      <c r="GT27" s="1" t="n"/>
      <c r="GU27" s="1" t="n"/>
      <c r="GV27" s="1" t="n"/>
      <c r="GW27" s="1" t="n"/>
      <c r="GX27" s="1" t="n"/>
      <c r="GY27" s="1" t="n"/>
      <c r="GZ27" s="1" t="n"/>
      <c r="HA27" s="1" t="n"/>
      <c r="HB27" s="1" t="n"/>
      <c r="HC27" s="1" t="n"/>
      <c r="HD27" s="1" t="n"/>
      <c r="HE27" s="1" t="n"/>
      <c r="HF27" s="1" t="n"/>
      <c r="HG27" s="1" t="n"/>
      <c r="HH27" s="1" t="n"/>
      <c r="HI27" s="1" t="n"/>
      <c r="HJ27" s="1" t="n"/>
      <c r="HK27" s="1" t="n"/>
      <c r="HL27" s="1" t="n"/>
      <c r="HM27" s="1" t="n"/>
      <c r="HN27" s="1" t="n"/>
      <c r="HO27" s="1" t="n"/>
      <c r="HP27" s="1" t="n"/>
      <c r="HQ27" s="1" t="n"/>
      <c r="HR27" s="1" t="n"/>
      <c r="HS27" s="1" t="n"/>
      <c r="HT27" s="1" t="n"/>
      <c r="HU27" s="1" t="n"/>
      <c r="HV27" s="1" t="n"/>
      <c r="HW27" s="1" t="n"/>
      <c r="HX27" s="1" t="n"/>
      <c r="HY27" s="1" t="n"/>
      <c r="HZ27" s="1" t="n"/>
      <c r="IA27" s="1" t="n"/>
      <c r="IB27" s="1" t="n"/>
      <c r="IC27" s="1" t="n"/>
      <c r="ID27" s="1" t="n"/>
      <c r="IE27" s="1" t="n"/>
      <c r="IF27" s="1" t="n"/>
      <c r="IG27" s="1" t="n"/>
      <c r="IH27" s="1" t="n"/>
      <c r="II27" s="1" t="n"/>
      <c r="IJ27" s="1" t="n"/>
      <c r="IK27" s="1" t="n"/>
      <c r="IL27" s="1" t="n"/>
      <c r="IM27" s="1" t="n"/>
      <c r="IN27" s="1" t="n"/>
      <c r="IO27" s="1" t="n"/>
      <c r="IP27" s="1" t="n"/>
      <c r="IQ27" s="1" t="n"/>
      <c r="IR27" s="1" t="n"/>
      <c r="IS27" s="1" t="n"/>
      <c r="IT27" s="1" t="n"/>
      <c r="IU27" s="1" t="n"/>
      <c r="IV27" s="1" t="n"/>
    </row>
    <row r="28" ht="15.5" customHeight="1">
      <c r="A28" s="1" t="n"/>
      <c r="B28" s="39" t="n"/>
      <c r="C28" s="64" t="n"/>
      <c r="D28" s="64" t="n"/>
      <c r="E28" s="64" t="n"/>
      <c r="F28" s="64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" t="n"/>
      <c r="AY28" s="1" t="n"/>
      <c r="AZ28" s="1" t="n"/>
      <c r="BA28" s="1" t="n"/>
      <c r="BB28" s="1" t="n"/>
      <c r="BC28" s="1" t="n"/>
      <c r="BD28" s="1" t="n"/>
      <c r="BE28" s="1" t="n"/>
      <c r="BF28" s="1" t="n"/>
      <c r="BG28" s="1" t="n"/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" t="n"/>
      <c r="BQ28" s="1" t="n"/>
      <c r="BR28" s="1" t="n"/>
      <c r="BS28" s="1" t="n"/>
      <c r="BT28" s="1" t="n"/>
      <c r="BU28" s="1" t="n"/>
      <c r="BV28" s="1" t="n"/>
      <c r="BW28" s="1" t="n"/>
      <c r="BX28" s="1" t="n"/>
      <c r="BY28" s="1" t="n"/>
      <c r="BZ28" s="1" t="n"/>
      <c r="CA28" s="1" t="n"/>
      <c r="CB28" s="1" t="n"/>
      <c r="CC28" s="1" t="n"/>
      <c r="CD28" s="1" t="n"/>
      <c r="CE28" s="1" t="n"/>
      <c r="CF28" s="1" t="n"/>
      <c r="CG28" s="1" t="n"/>
      <c r="CH28" s="1" t="n"/>
      <c r="CI28" s="1" t="n"/>
      <c r="CJ28" s="1" t="n"/>
      <c r="CK28" s="1" t="n"/>
      <c r="CL28" s="1" t="n"/>
      <c r="CM28" s="1" t="n"/>
      <c r="CN28" s="1" t="n"/>
      <c r="CO28" s="1" t="n"/>
      <c r="CP28" s="1" t="n"/>
      <c r="CQ28" s="1" t="n"/>
      <c r="CR28" s="1" t="n"/>
      <c r="CS28" s="1" t="n"/>
      <c r="CT28" s="1" t="n"/>
      <c r="CU28" s="1" t="n"/>
      <c r="CV28" s="1" t="n"/>
      <c r="CW28" s="1" t="n"/>
      <c r="CX28" s="1" t="n"/>
      <c r="CY28" s="1" t="n"/>
      <c r="CZ28" s="1" t="n"/>
      <c r="DA28" s="1" t="n"/>
      <c r="DB28" s="1" t="n"/>
      <c r="DC28" s="1" t="n"/>
      <c r="DD28" s="1" t="n"/>
      <c r="DE28" s="1" t="n"/>
      <c r="DF28" s="1" t="n"/>
      <c r="DG28" s="1" t="n"/>
      <c r="DH28" s="1" t="n"/>
      <c r="DI28" s="1" t="n"/>
      <c r="DJ28" s="1" t="n"/>
      <c r="DK28" s="1" t="n"/>
      <c r="DL28" s="1" t="n"/>
      <c r="DM28" s="1" t="n"/>
      <c r="DN28" s="1" t="n"/>
      <c r="DO28" s="1" t="n"/>
      <c r="DP28" s="1" t="n"/>
      <c r="DQ28" s="1" t="n"/>
      <c r="DR28" s="1" t="n"/>
      <c r="DS28" s="1" t="n"/>
      <c r="DT28" s="1" t="n"/>
      <c r="DU28" s="1" t="n"/>
      <c r="DV28" s="1" t="n"/>
      <c r="DW28" s="1" t="n"/>
      <c r="DX28" s="1" t="n"/>
      <c r="DY28" s="1" t="n"/>
      <c r="DZ28" s="1" t="n"/>
      <c r="EA28" s="1" t="n"/>
      <c r="EB28" s="1" t="n"/>
      <c r="EC28" s="1" t="n"/>
      <c r="ED28" s="1" t="n"/>
      <c r="EE28" s="1" t="n"/>
      <c r="EF28" s="1" t="n"/>
      <c r="EG28" s="1" t="n"/>
      <c r="EH28" s="1" t="n"/>
      <c r="EI28" s="1" t="n"/>
      <c r="EJ28" s="1" t="n"/>
      <c r="EK28" s="1" t="n"/>
      <c r="EL28" s="1" t="n"/>
      <c r="EM28" s="1" t="n"/>
      <c r="EN28" s="1" t="n"/>
      <c r="EO28" s="1" t="n"/>
      <c r="EP28" s="1" t="n"/>
      <c r="EQ28" s="1" t="n"/>
      <c r="ER28" s="1" t="n"/>
      <c r="ES28" s="1" t="n"/>
      <c r="ET28" s="1" t="n"/>
      <c r="EU28" s="1" t="n"/>
      <c r="EV28" s="1" t="n"/>
      <c r="EW28" s="1" t="n"/>
      <c r="EX28" s="1" t="n"/>
      <c r="EY28" s="1" t="n"/>
      <c r="EZ28" s="1" t="n"/>
      <c r="FA28" s="1" t="n"/>
      <c r="FB28" s="1" t="n"/>
      <c r="FC28" s="1" t="n"/>
      <c r="FD28" s="1" t="n"/>
      <c r="FE28" s="1" t="n"/>
      <c r="FF28" s="1" t="n"/>
      <c r="FG28" s="1" t="n"/>
      <c r="FH28" s="1" t="n"/>
      <c r="FI28" s="1" t="n"/>
      <c r="FJ28" s="1" t="n"/>
      <c r="FK28" s="1" t="n"/>
      <c r="FL28" s="1" t="n"/>
      <c r="FM28" s="1" t="n"/>
      <c r="FN28" s="1" t="n"/>
      <c r="FO28" s="1" t="n"/>
      <c r="FP28" s="1" t="n"/>
      <c r="FQ28" s="1" t="n"/>
      <c r="FR28" s="1" t="n"/>
      <c r="FS28" s="1" t="n"/>
      <c r="FT28" s="1" t="n"/>
      <c r="FU28" s="1" t="n"/>
      <c r="FV28" s="1" t="n"/>
      <c r="FW28" s="1" t="n"/>
      <c r="FX28" s="1" t="n"/>
      <c r="FY28" s="1" t="n"/>
      <c r="FZ28" s="1" t="n"/>
      <c r="GA28" s="1" t="n"/>
      <c r="GB28" s="1" t="n"/>
      <c r="GC28" s="1" t="n"/>
      <c r="GD28" s="1" t="n"/>
      <c r="GE28" s="1" t="n"/>
      <c r="GF28" s="1" t="n"/>
      <c r="GG28" s="1" t="n"/>
      <c r="GH28" s="1" t="n"/>
      <c r="GI28" s="1" t="n"/>
      <c r="GJ28" s="1" t="n"/>
      <c r="GK28" s="1" t="n"/>
      <c r="GL28" s="1" t="n"/>
      <c r="GM28" s="1" t="n"/>
      <c r="GN28" s="1" t="n"/>
      <c r="GO28" s="1" t="n"/>
      <c r="GP28" s="1" t="n"/>
      <c r="GQ28" s="1" t="n"/>
      <c r="GR28" s="1" t="n"/>
      <c r="GS28" s="1" t="n"/>
      <c r="GT28" s="1" t="n"/>
      <c r="GU28" s="1" t="n"/>
      <c r="GV28" s="1" t="n"/>
      <c r="GW28" s="1" t="n"/>
      <c r="GX28" s="1" t="n"/>
      <c r="GY28" s="1" t="n"/>
      <c r="GZ28" s="1" t="n"/>
      <c r="HA28" s="1" t="n"/>
      <c r="HB28" s="1" t="n"/>
      <c r="HC28" s="1" t="n"/>
      <c r="HD28" s="1" t="n"/>
      <c r="HE28" s="1" t="n"/>
      <c r="HF28" s="1" t="n"/>
      <c r="HG28" s="1" t="n"/>
      <c r="HH28" s="1" t="n"/>
      <c r="HI28" s="1" t="n"/>
      <c r="HJ28" s="1" t="n"/>
      <c r="HK28" s="1" t="n"/>
      <c r="HL28" s="1" t="n"/>
      <c r="HM28" s="1" t="n"/>
      <c r="HN28" s="1" t="n"/>
      <c r="HO28" s="1" t="n"/>
      <c r="HP28" s="1" t="n"/>
      <c r="HQ28" s="1" t="n"/>
      <c r="HR28" s="1" t="n"/>
      <c r="HS28" s="1" t="n"/>
      <c r="HT28" s="1" t="n"/>
      <c r="HU28" s="1" t="n"/>
      <c r="HV28" s="1" t="n"/>
      <c r="HW28" s="1" t="n"/>
      <c r="HX28" s="1" t="n"/>
      <c r="HY28" s="1" t="n"/>
      <c r="HZ28" s="1" t="n"/>
      <c r="IA28" s="1" t="n"/>
      <c r="IB28" s="1" t="n"/>
      <c r="IC28" s="1" t="n"/>
      <c r="ID28" s="1" t="n"/>
      <c r="IE28" s="1" t="n"/>
      <c r="IF28" s="1" t="n"/>
      <c r="IG28" s="1" t="n"/>
      <c r="IH28" s="1" t="n"/>
      <c r="II28" s="1" t="n"/>
      <c r="IJ28" s="1" t="n"/>
      <c r="IK28" s="1" t="n"/>
      <c r="IL28" s="1" t="n"/>
      <c r="IM28" s="1" t="n"/>
      <c r="IN28" s="1" t="n"/>
      <c r="IO28" s="1" t="n"/>
      <c r="IP28" s="1" t="n"/>
      <c r="IQ28" s="1" t="n"/>
      <c r="IR28" s="1" t="n"/>
      <c r="IS28" s="1" t="n"/>
      <c r="IT28" s="1" t="n"/>
      <c r="IU28" s="1" t="n"/>
      <c r="IV28" s="1" t="n"/>
    </row>
    <row r="29" ht="15.5" customHeight="1">
      <c r="A29" s="1" t="n"/>
      <c r="B29" s="39" t="n"/>
      <c r="C29" s="64" t="n"/>
      <c r="D29" s="64" t="n"/>
      <c r="E29" s="64" t="n"/>
      <c r="F29" s="64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" t="n"/>
      <c r="AY29" s="1" t="n"/>
      <c r="AZ29" s="1" t="n"/>
      <c r="BA29" s="1" t="n"/>
      <c r="BB29" s="1" t="n"/>
      <c r="BC29" s="1" t="n"/>
      <c r="BD29" s="1" t="n"/>
      <c r="BE29" s="1" t="n"/>
      <c r="BF29" s="1" t="n"/>
      <c r="BG29" s="1" t="n"/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" t="n"/>
      <c r="BQ29" s="1" t="n"/>
      <c r="BR29" s="1" t="n"/>
      <c r="BS29" s="1" t="n"/>
      <c r="BT29" s="1" t="n"/>
      <c r="BU29" s="1" t="n"/>
      <c r="BV29" s="1" t="n"/>
      <c r="BW29" s="1" t="n"/>
      <c r="BX29" s="1" t="n"/>
      <c r="BY29" s="1" t="n"/>
      <c r="BZ29" s="1" t="n"/>
      <c r="CA29" s="1" t="n"/>
      <c r="CB29" s="1" t="n"/>
      <c r="CC29" s="1" t="n"/>
      <c r="CD29" s="1" t="n"/>
      <c r="CE29" s="1" t="n"/>
      <c r="CF29" s="1" t="n"/>
      <c r="CG29" s="1" t="n"/>
      <c r="CH29" s="1" t="n"/>
      <c r="CI29" s="1" t="n"/>
      <c r="CJ29" s="1" t="n"/>
      <c r="CK29" s="1" t="n"/>
      <c r="CL29" s="1" t="n"/>
      <c r="CM29" s="1" t="n"/>
      <c r="CN29" s="1" t="n"/>
      <c r="CO29" s="1" t="n"/>
      <c r="CP29" s="1" t="n"/>
      <c r="CQ29" s="1" t="n"/>
      <c r="CR29" s="1" t="n"/>
      <c r="CS29" s="1" t="n"/>
      <c r="CT29" s="1" t="n"/>
      <c r="CU29" s="1" t="n"/>
      <c r="CV29" s="1" t="n"/>
      <c r="CW29" s="1" t="n"/>
      <c r="CX29" s="1" t="n"/>
      <c r="CY29" s="1" t="n"/>
      <c r="CZ29" s="1" t="n"/>
      <c r="DA29" s="1" t="n"/>
      <c r="DB29" s="1" t="n"/>
      <c r="DC29" s="1" t="n"/>
      <c r="DD29" s="1" t="n"/>
      <c r="DE29" s="1" t="n"/>
      <c r="DF29" s="1" t="n"/>
      <c r="DG29" s="1" t="n"/>
      <c r="DH29" s="1" t="n"/>
      <c r="DI29" s="1" t="n"/>
      <c r="DJ29" s="1" t="n"/>
      <c r="DK29" s="1" t="n"/>
      <c r="DL29" s="1" t="n"/>
      <c r="DM29" s="1" t="n"/>
      <c r="DN29" s="1" t="n"/>
      <c r="DO29" s="1" t="n"/>
      <c r="DP29" s="1" t="n"/>
      <c r="DQ29" s="1" t="n"/>
      <c r="DR29" s="1" t="n"/>
      <c r="DS29" s="1" t="n"/>
      <c r="DT29" s="1" t="n"/>
      <c r="DU29" s="1" t="n"/>
      <c r="DV29" s="1" t="n"/>
      <c r="DW29" s="1" t="n"/>
      <c r="DX29" s="1" t="n"/>
      <c r="DY29" s="1" t="n"/>
      <c r="DZ29" s="1" t="n"/>
      <c r="EA29" s="1" t="n"/>
      <c r="EB29" s="1" t="n"/>
      <c r="EC29" s="1" t="n"/>
      <c r="ED29" s="1" t="n"/>
      <c r="EE29" s="1" t="n"/>
      <c r="EF29" s="1" t="n"/>
      <c r="EG29" s="1" t="n"/>
      <c r="EH29" s="1" t="n"/>
      <c r="EI29" s="1" t="n"/>
      <c r="EJ29" s="1" t="n"/>
      <c r="EK29" s="1" t="n"/>
      <c r="EL29" s="1" t="n"/>
      <c r="EM29" s="1" t="n"/>
      <c r="EN29" s="1" t="n"/>
      <c r="EO29" s="1" t="n"/>
      <c r="EP29" s="1" t="n"/>
      <c r="EQ29" s="1" t="n"/>
      <c r="ER29" s="1" t="n"/>
      <c r="ES29" s="1" t="n"/>
      <c r="ET29" s="1" t="n"/>
      <c r="EU29" s="1" t="n"/>
      <c r="EV29" s="1" t="n"/>
      <c r="EW29" s="1" t="n"/>
      <c r="EX29" s="1" t="n"/>
      <c r="EY29" s="1" t="n"/>
      <c r="EZ29" s="1" t="n"/>
      <c r="FA29" s="1" t="n"/>
      <c r="FB29" s="1" t="n"/>
      <c r="FC29" s="1" t="n"/>
      <c r="FD29" s="1" t="n"/>
      <c r="FE29" s="1" t="n"/>
      <c r="FF29" s="1" t="n"/>
      <c r="FG29" s="1" t="n"/>
      <c r="FH29" s="1" t="n"/>
      <c r="FI29" s="1" t="n"/>
      <c r="FJ29" s="1" t="n"/>
      <c r="FK29" s="1" t="n"/>
      <c r="FL29" s="1" t="n"/>
      <c r="FM29" s="1" t="n"/>
      <c r="FN29" s="1" t="n"/>
      <c r="FO29" s="1" t="n"/>
      <c r="FP29" s="1" t="n"/>
      <c r="FQ29" s="1" t="n"/>
      <c r="FR29" s="1" t="n"/>
      <c r="FS29" s="1" t="n"/>
      <c r="FT29" s="1" t="n"/>
      <c r="FU29" s="1" t="n"/>
      <c r="FV29" s="1" t="n"/>
      <c r="FW29" s="1" t="n"/>
      <c r="FX29" s="1" t="n"/>
      <c r="FY29" s="1" t="n"/>
      <c r="FZ29" s="1" t="n"/>
      <c r="GA29" s="1" t="n"/>
      <c r="GB29" s="1" t="n"/>
      <c r="GC29" s="1" t="n"/>
      <c r="GD29" s="1" t="n"/>
      <c r="GE29" s="1" t="n"/>
      <c r="GF29" s="1" t="n"/>
      <c r="GG29" s="1" t="n"/>
      <c r="GH29" s="1" t="n"/>
      <c r="GI29" s="1" t="n"/>
      <c r="GJ29" s="1" t="n"/>
      <c r="GK29" s="1" t="n"/>
      <c r="GL29" s="1" t="n"/>
      <c r="GM29" s="1" t="n"/>
      <c r="GN29" s="1" t="n"/>
      <c r="GO29" s="1" t="n"/>
      <c r="GP29" s="1" t="n"/>
      <c r="GQ29" s="1" t="n"/>
      <c r="GR29" s="1" t="n"/>
      <c r="GS29" s="1" t="n"/>
      <c r="GT29" s="1" t="n"/>
      <c r="GU29" s="1" t="n"/>
      <c r="GV29" s="1" t="n"/>
      <c r="GW29" s="1" t="n"/>
      <c r="GX29" s="1" t="n"/>
      <c r="GY29" s="1" t="n"/>
      <c r="GZ29" s="1" t="n"/>
      <c r="HA29" s="1" t="n"/>
      <c r="HB29" s="1" t="n"/>
      <c r="HC29" s="1" t="n"/>
      <c r="HD29" s="1" t="n"/>
      <c r="HE29" s="1" t="n"/>
      <c r="HF29" s="1" t="n"/>
      <c r="HG29" s="1" t="n"/>
      <c r="HH29" s="1" t="n"/>
      <c r="HI29" s="1" t="n"/>
      <c r="HJ29" s="1" t="n"/>
      <c r="HK29" s="1" t="n"/>
      <c r="HL29" s="1" t="n"/>
      <c r="HM29" s="1" t="n"/>
      <c r="HN29" s="1" t="n"/>
      <c r="HO29" s="1" t="n"/>
      <c r="HP29" s="1" t="n"/>
      <c r="HQ29" s="1" t="n"/>
      <c r="HR29" s="1" t="n"/>
      <c r="HS29" s="1" t="n"/>
      <c r="HT29" s="1" t="n"/>
      <c r="HU29" s="1" t="n"/>
      <c r="HV29" s="1" t="n"/>
      <c r="HW29" s="1" t="n"/>
      <c r="HX29" s="1" t="n"/>
      <c r="HY29" s="1" t="n"/>
      <c r="HZ29" s="1" t="n"/>
      <c r="IA29" s="1" t="n"/>
      <c r="IB29" s="1" t="n"/>
      <c r="IC29" s="1" t="n"/>
      <c r="ID29" s="1" t="n"/>
      <c r="IE29" s="1" t="n"/>
      <c r="IF29" s="1" t="n"/>
      <c r="IG29" s="1" t="n"/>
      <c r="IH29" s="1" t="n"/>
      <c r="II29" s="1" t="n"/>
      <c r="IJ29" s="1" t="n"/>
      <c r="IK29" s="1" t="n"/>
      <c r="IL29" s="1" t="n"/>
      <c r="IM29" s="1" t="n"/>
      <c r="IN29" s="1" t="n"/>
      <c r="IO29" s="1" t="n"/>
      <c r="IP29" s="1" t="n"/>
      <c r="IQ29" s="1" t="n"/>
      <c r="IR29" s="1" t="n"/>
      <c r="IS29" s="1" t="n"/>
      <c r="IT29" s="1" t="n"/>
      <c r="IU29" s="1" t="n"/>
      <c r="IV29" s="1" t="n"/>
    </row>
    <row r="30" ht="15.5" customHeight="1">
      <c r="A30" s="1" t="n"/>
      <c r="B30" s="39" t="n"/>
      <c r="C30" s="64" t="n"/>
      <c r="D30" s="64" t="n"/>
      <c r="E30" s="64" t="n"/>
      <c r="F30" s="64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  <c r="AW30" s="1" t="n"/>
      <c r="AX30" s="1" t="n"/>
      <c r="AY30" s="1" t="n"/>
      <c r="AZ30" s="1" t="n"/>
      <c r="BA30" s="1" t="n"/>
      <c r="BB30" s="1" t="n"/>
      <c r="BC30" s="1" t="n"/>
      <c r="BD30" s="1" t="n"/>
      <c r="BE30" s="1" t="n"/>
      <c r="BF30" s="1" t="n"/>
      <c r="BG30" s="1" t="n"/>
      <c r="BH30" s="1" t="n"/>
      <c r="BI30" s="1" t="n"/>
      <c r="BJ30" s="1" t="n"/>
      <c r="BK30" s="1" t="n"/>
      <c r="BL30" s="1" t="n"/>
      <c r="BM30" s="1" t="n"/>
      <c r="BN30" s="1" t="n"/>
      <c r="BO30" s="1" t="n"/>
      <c r="BP30" s="1" t="n"/>
      <c r="BQ30" s="1" t="n"/>
      <c r="BR30" s="1" t="n"/>
      <c r="BS30" s="1" t="n"/>
      <c r="BT30" s="1" t="n"/>
      <c r="BU30" s="1" t="n"/>
      <c r="BV30" s="1" t="n"/>
      <c r="BW30" s="1" t="n"/>
      <c r="BX30" s="1" t="n"/>
      <c r="BY30" s="1" t="n"/>
      <c r="BZ30" s="1" t="n"/>
      <c r="CA30" s="1" t="n"/>
      <c r="CB30" s="1" t="n"/>
      <c r="CC30" s="1" t="n"/>
      <c r="CD30" s="1" t="n"/>
      <c r="CE30" s="1" t="n"/>
      <c r="CF30" s="1" t="n"/>
      <c r="CG30" s="1" t="n"/>
      <c r="CH30" s="1" t="n"/>
      <c r="CI30" s="1" t="n"/>
      <c r="CJ30" s="1" t="n"/>
      <c r="CK30" s="1" t="n"/>
      <c r="CL30" s="1" t="n"/>
      <c r="CM30" s="1" t="n"/>
      <c r="CN30" s="1" t="n"/>
      <c r="CO30" s="1" t="n"/>
      <c r="CP30" s="1" t="n"/>
      <c r="CQ30" s="1" t="n"/>
      <c r="CR30" s="1" t="n"/>
      <c r="CS30" s="1" t="n"/>
      <c r="CT30" s="1" t="n"/>
      <c r="CU30" s="1" t="n"/>
      <c r="CV30" s="1" t="n"/>
      <c r="CW30" s="1" t="n"/>
      <c r="CX30" s="1" t="n"/>
      <c r="CY30" s="1" t="n"/>
      <c r="CZ30" s="1" t="n"/>
      <c r="DA30" s="1" t="n"/>
      <c r="DB30" s="1" t="n"/>
      <c r="DC30" s="1" t="n"/>
      <c r="DD30" s="1" t="n"/>
      <c r="DE30" s="1" t="n"/>
      <c r="DF30" s="1" t="n"/>
      <c r="DG30" s="1" t="n"/>
      <c r="DH30" s="1" t="n"/>
      <c r="DI30" s="1" t="n"/>
      <c r="DJ30" s="1" t="n"/>
      <c r="DK30" s="1" t="n"/>
      <c r="DL30" s="1" t="n"/>
      <c r="DM30" s="1" t="n"/>
      <c r="DN30" s="1" t="n"/>
      <c r="DO30" s="1" t="n"/>
      <c r="DP30" s="1" t="n"/>
      <c r="DQ30" s="1" t="n"/>
      <c r="DR30" s="1" t="n"/>
      <c r="DS30" s="1" t="n"/>
      <c r="DT30" s="1" t="n"/>
      <c r="DU30" s="1" t="n"/>
      <c r="DV30" s="1" t="n"/>
      <c r="DW30" s="1" t="n"/>
      <c r="DX30" s="1" t="n"/>
      <c r="DY30" s="1" t="n"/>
      <c r="DZ30" s="1" t="n"/>
      <c r="EA30" s="1" t="n"/>
      <c r="EB30" s="1" t="n"/>
      <c r="EC30" s="1" t="n"/>
      <c r="ED30" s="1" t="n"/>
      <c r="EE30" s="1" t="n"/>
      <c r="EF30" s="1" t="n"/>
      <c r="EG30" s="1" t="n"/>
      <c r="EH30" s="1" t="n"/>
      <c r="EI30" s="1" t="n"/>
      <c r="EJ30" s="1" t="n"/>
      <c r="EK30" s="1" t="n"/>
      <c r="EL30" s="1" t="n"/>
      <c r="EM30" s="1" t="n"/>
      <c r="EN30" s="1" t="n"/>
      <c r="EO30" s="1" t="n"/>
      <c r="EP30" s="1" t="n"/>
      <c r="EQ30" s="1" t="n"/>
      <c r="ER30" s="1" t="n"/>
      <c r="ES30" s="1" t="n"/>
      <c r="ET30" s="1" t="n"/>
      <c r="EU30" s="1" t="n"/>
      <c r="EV30" s="1" t="n"/>
      <c r="EW30" s="1" t="n"/>
      <c r="EX30" s="1" t="n"/>
      <c r="EY30" s="1" t="n"/>
      <c r="EZ30" s="1" t="n"/>
      <c r="FA30" s="1" t="n"/>
      <c r="FB30" s="1" t="n"/>
      <c r="FC30" s="1" t="n"/>
      <c r="FD30" s="1" t="n"/>
      <c r="FE30" s="1" t="n"/>
      <c r="FF30" s="1" t="n"/>
      <c r="FG30" s="1" t="n"/>
      <c r="FH30" s="1" t="n"/>
      <c r="FI30" s="1" t="n"/>
      <c r="FJ30" s="1" t="n"/>
      <c r="FK30" s="1" t="n"/>
      <c r="FL30" s="1" t="n"/>
      <c r="FM30" s="1" t="n"/>
      <c r="FN30" s="1" t="n"/>
      <c r="FO30" s="1" t="n"/>
      <c r="FP30" s="1" t="n"/>
      <c r="FQ30" s="1" t="n"/>
      <c r="FR30" s="1" t="n"/>
      <c r="FS30" s="1" t="n"/>
      <c r="FT30" s="1" t="n"/>
      <c r="FU30" s="1" t="n"/>
      <c r="FV30" s="1" t="n"/>
      <c r="FW30" s="1" t="n"/>
      <c r="FX30" s="1" t="n"/>
      <c r="FY30" s="1" t="n"/>
      <c r="FZ30" s="1" t="n"/>
      <c r="GA30" s="1" t="n"/>
      <c r="GB30" s="1" t="n"/>
      <c r="GC30" s="1" t="n"/>
      <c r="GD30" s="1" t="n"/>
      <c r="GE30" s="1" t="n"/>
      <c r="GF30" s="1" t="n"/>
      <c r="GG30" s="1" t="n"/>
      <c r="GH30" s="1" t="n"/>
      <c r="GI30" s="1" t="n"/>
      <c r="GJ30" s="1" t="n"/>
      <c r="GK30" s="1" t="n"/>
      <c r="GL30" s="1" t="n"/>
      <c r="GM30" s="1" t="n"/>
      <c r="GN30" s="1" t="n"/>
      <c r="GO30" s="1" t="n"/>
      <c r="GP30" s="1" t="n"/>
      <c r="GQ30" s="1" t="n"/>
      <c r="GR30" s="1" t="n"/>
      <c r="GS30" s="1" t="n"/>
      <c r="GT30" s="1" t="n"/>
      <c r="GU30" s="1" t="n"/>
      <c r="GV30" s="1" t="n"/>
      <c r="GW30" s="1" t="n"/>
      <c r="GX30" s="1" t="n"/>
      <c r="GY30" s="1" t="n"/>
      <c r="GZ30" s="1" t="n"/>
      <c r="HA30" s="1" t="n"/>
      <c r="HB30" s="1" t="n"/>
      <c r="HC30" s="1" t="n"/>
      <c r="HD30" s="1" t="n"/>
      <c r="HE30" s="1" t="n"/>
      <c r="HF30" s="1" t="n"/>
      <c r="HG30" s="1" t="n"/>
      <c r="HH30" s="1" t="n"/>
      <c r="HI30" s="1" t="n"/>
      <c r="HJ30" s="1" t="n"/>
      <c r="HK30" s="1" t="n"/>
      <c r="HL30" s="1" t="n"/>
      <c r="HM30" s="1" t="n"/>
      <c r="HN30" s="1" t="n"/>
      <c r="HO30" s="1" t="n"/>
      <c r="HP30" s="1" t="n"/>
      <c r="HQ30" s="1" t="n"/>
      <c r="HR30" s="1" t="n"/>
      <c r="HS30" s="1" t="n"/>
      <c r="HT30" s="1" t="n"/>
      <c r="HU30" s="1" t="n"/>
      <c r="HV30" s="1" t="n"/>
      <c r="HW30" s="1" t="n"/>
      <c r="HX30" s="1" t="n"/>
      <c r="HY30" s="1" t="n"/>
      <c r="HZ30" s="1" t="n"/>
      <c r="IA30" s="1" t="n"/>
      <c r="IB30" s="1" t="n"/>
      <c r="IC30" s="1" t="n"/>
      <c r="ID30" s="1" t="n"/>
      <c r="IE30" s="1" t="n"/>
      <c r="IF30" s="1" t="n"/>
      <c r="IG30" s="1" t="n"/>
      <c r="IH30" s="1" t="n"/>
      <c r="II30" s="1" t="n"/>
      <c r="IJ30" s="1" t="n"/>
      <c r="IK30" s="1" t="n"/>
      <c r="IL30" s="1" t="n"/>
      <c r="IM30" s="1" t="n"/>
      <c r="IN30" s="1" t="n"/>
      <c r="IO30" s="1" t="n"/>
      <c r="IP30" s="1" t="n"/>
      <c r="IQ30" s="1" t="n"/>
      <c r="IR30" s="1" t="n"/>
      <c r="IS30" s="1" t="n"/>
      <c r="IT30" s="1" t="n"/>
      <c r="IU30" s="1" t="n"/>
      <c r="IV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  <c r="AW31" s="1" t="n"/>
      <c r="AX31" s="1" t="n"/>
      <c r="AY31" s="1" t="n"/>
      <c r="AZ31" s="1" t="n"/>
      <c r="BA31" s="1" t="n"/>
      <c r="BB31" s="1" t="n"/>
      <c r="BC31" s="1" t="n"/>
      <c r="BD31" s="1" t="n"/>
      <c r="BE31" s="1" t="n"/>
      <c r="BF31" s="1" t="n"/>
      <c r="BG31" s="1" t="n"/>
      <c r="BH31" s="1" t="n"/>
      <c r="BI31" s="1" t="n"/>
      <c r="BJ31" s="1" t="n"/>
      <c r="BK31" s="1" t="n"/>
      <c r="BL31" s="1" t="n"/>
      <c r="BM31" s="1" t="n"/>
      <c r="BN31" s="1" t="n"/>
      <c r="BO31" s="1" t="n"/>
      <c r="BP31" s="1" t="n"/>
      <c r="BQ31" s="1" t="n"/>
      <c r="BR31" s="1" t="n"/>
      <c r="BS31" s="1" t="n"/>
      <c r="BT31" s="1" t="n"/>
      <c r="BU31" s="1" t="n"/>
      <c r="BV31" s="1" t="n"/>
      <c r="BW31" s="1" t="n"/>
      <c r="BX31" s="1" t="n"/>
      <c r="BY31" s="1" t="n"/>
      <c r="BZ31" s="1" t="n"/>
      <c r="CA31" s="1" t="n"/>
      <c r="CB31" s="1" t="n"/>
      <c r="CC31" s="1" t="n"/>
      <c r="CD31" s="1" t="n"/>
      <c r="CE31" s="1" t="n"/>
      <c r="CF31" s="1" t="n"/>
      <c r="CG31" s="1" t="n"/>
      <c r="CH31" s="1" t="n"/>
      <c r="CI31" s="1" t="n"/>
      <c r="CJ31" s="1" t="n"/>
      <c r="CK31" s="1" t="n"/>
      <c r="CL31" s="1" t="n"/>
      <c r="CM31" s="1" t="n"/>
      <c r="CN31" s="1" t="n"/>
      <c r="CO31" s="1" t="n"/>
      <c r="CP31" s="1" t="n"/>
      <c r="CQ31" s="1" t="n"/>
      <c r="CR31" s="1" t="n"/>
      <c r="CS31" s="1" t="n"/>
      <c r="CT31" s="1" t="n"/>
      <c r="CU31" s="1" t="n"/>
      <c r="CV31" s="1" t="n"/>
      <c r="CW31" s="1" t="n"/>
      <c r="CX31" s="1" t="n"/>
      <c r="CY31" s="1" t="n"/>
      <c r="CZ31" s="1" t="n"/>
      <c r="DA31" s="1" t="n"/>
      <c r="DB31" s="1" t="n"/>
      <c r="DC31" s="1" t="n"/>
      <c r="DD31" s="1" t="n"/>
      <c r="DE31" s="1" t="n"/>
      <c r="DF31" s="1" t="n"/>
      <c r="DG31" s="1" t="n"/>
      <c r="DH31" s="1" t="n"/>
      <c r="DI31" s="1" t="n"/>
      <c r="DJ31" s="1" t="n"/>
      <c r="DK31" s="1" t="n"/>
      <c r="DL31" s="1" t="n"/>
      <c r="DM31" s="1" t="n"/>
      <c r="DN31" s="1" t="n"/>
      <c r="DO31" s="1" t="n"/>
      <c r="DP31" s="1" t="n"/>
      <c r="DQ31" s="1" t="n"/>
      <c r="DR31" s="1" t="n"/>
      <c r="DS31" s="1" t="n"/>
      <c r="DT31" s="1" t="n"/>
      <c r="DU31" s="1" t="n"/>
      <c r="DV31" s="1" t="n"/>
      <c r="DW31" s="1" t="n"/>
      <c r="DX31" s="1" t="n"/>
      <c r="DY31" s="1" t="n"/>
      <c r="DZ31" s="1" t="n"/>
      <c r="EA31" s="1" t="n"/>
      <c r="EB31" s="1" t="n"/>
      <c r="EC31" s="1" t="n"/>
      <c r="ED31" s="1" t="n"/>
      <c r="EE31" s="1" t="n"/>
      <c r="EF31" s="1" t="n"/>
      <c r="EG31" s="1" t="n"/>
      <c r="EH31" s="1" t="n"/>
      <c r="EI31" s="1" t="n"/>
      <c r="EJ31" s="1" t="n"/>
      <c r="EK31" s="1" t="n"/>
      <c r="EL31" s="1" t="n"/>
      <c r="EM31" s="1" t="n"/>
      <c r="EN31" s="1" t="n"/>
      <c r="EO31" s="1" t="n"/>
      <c r="EP31" s="1" t="n"/>
      <c r="EQ31" s="1" t="n"/>
      <c r="ER31" s="1" t="n"/>
      <c r="ES31" s="1" t="n"/>
      <c r="ET31" s="1" t="n"/>
      <c r="EU31" s="1" t="n"/>
      <c r="EV31" s="1" t="n"/>
      <c r="EW31" s="1" t="n"/>
      <c r="EX31" s="1" t="n"/>
      <c r="EY31" s="1" t="n"/>
      <c r="EZ31" s="1" t="n"/>
      <c r="FA31" s="1" t="n"/>
      <c r="FB31" s="1" t="n"/>
      <c r="FC31" s="1" t="n"/>
      <c r="FD31" s="1" t="n"/>
      <c r="FE31" s="1" t="n"/>
      <c r="FF31" s="1" t="n"/>
      <c r="FG31" s="1" t="n"/>
      <c r="FH31" s="1" t="n"/>
      <c r="FI31" s="1" t="n"/>
      <c r="FJ31" s="1" t="n"/>
      <c r="FK31" s="1" t="n"/>
      <c r="FL31" s="1" t="n"/>
      <c r="FM31" s="1" t="n"/>
      <c r="FN31" s="1" t="n"/>
      <c r="FO31" s="1" t="n"/>
      <c r="FP31" s="1" t="n"/>
      <c r="FQ31" s="1" t="n"/>
      <c r="FR31" s="1" t="n"/>
      <c r="FS31" s="1" t="n"/>
      <c r="FT31" s="1" t="n"/>
      <c r="FU31" s="1" t="n"/>
      <c r="FV31" s="1" t="n"/>
      <c r="FW31" s="1" t="n"/>
      <c r="FX31" s="1" t="n"/>
      <c r="FY31" s="1" t="n"/>
      <c r="FZ31" s="1" t="n"/>
      <c r="GA31" s="1" t="n"/>
      <c r="GB31" s="1" t="n"/>
      <c r="GC31" s="1" t="n"/>
      <c r="GD31" s="1" t="n"/>
      <c r="GE31" s="1" t="n"/>
      <c r="GF31" s="1" t="n"/>
      <c r="GG31" s="1" t="n"/>
      <c r="GH31" s="1" t="n"/>
      <c r="GI31" s="1" t="n"/>
      <c r="GJ31" s="1" t="n"/>
      <c r="GK31" s="1" t="n"/>
      <c r="GL31" s="1" t="n"/>
      <c r="GM31" s="1" t="n"/>
      <c r="GN31" s="1" t="n"/>
      <c r="GO31" s="1" t="n"/>
      <c r="GP31" s="1" t="n"/>
      <c r="GQ31" s="1" t="n"/>
      <c r="GR31" s="1" t="n"/>
      <c r="GS31" s="1" t="n"/>
      <c r="GT31" s="1" t="n"/>
      <c r="GU31" s="1" t="n"/>
      <c r="GV31" s="1" t="n"/>
      <c r="GW31" s="1" t="n"/>
      <c r="GX31" s="1" t="n"/>
      <c r="GY31" s="1" t="n"/>
      <c r="GZ31" s="1" t="n"/>
      <c r="HA31" s="1" t="n"/>
      <c r="HB31" s="1" t="n"/>
      <c r="HC31" s="1" t="n"/>
      <c r="HD31" s="1" t="n"/>
      <c r="HE31" s="1" t="n"/>
      <c r="HF31" s="1" t="n"/>
      <c r="HG31" s="1" t="n"/>
      <c r="HH31" s="1" t="n"/>
      <c r="HI31" s="1" t="n"/>
      <c r="HJ31" s="1" t="n"/>
      <c r="HK31" s="1" t="n"/>
      <c r="HL31" s="1" t="n"/>
      <c r="HM31" s="1" t="n"/>
      <c r="HN31" s="1" t="n"/>
      <c r="HO31" s="1" t="n"/>
      <c r="HP31" s="1" t="n"/>
      <c r="HQ31" s="1" t="n"/>
      <c r="HR31" s="1" t="n"/>
      <c r="HS31" s="1" t="n"/>
      <c r="HT31" s="1" t="n"/>
      <c r="HU31" s="1" t="n"/>
      <c r="HV31" s="1" t="n"/>
      <c r="HW31" s="1" t="n"/>
      <c r="HX31" s="1" t="n"/>
      <c r="HY31" s="1" t="n"/>
      <c r="HZ31" s="1" t="n"/>
      <c r="IA31" s="1" t="n"/>
      <c r="IB31" s="1" t="n"/>
      <c r="IC31" s="1" t="n"/>
      <c r="ID31" s="1" t="n"/>
      <c r="IE31" s="1" t="n"/>
      <c r="IF31" s="1" t="n"/>
      <c r="IG31" s="1" t="n"/>
      <c r="IH31" s="1" t="n"/>
      <c r="II31" s="1" t="n"/>
      <c r="IJ31" s="1" t="n"/>
      <c r="IK31" s="1" t="n"/>
      <c r="IL31" s="1" t="n"/>
      <c r="IM31" s="1" t="n"/>
      <c r="IN31" s="1" t="n"/>
      <c r="IO31" s="1" t="n"/>
      <c r="IP31" s="1" t="n"/>
      <c r="IQ31" s="1" t="n"/>
      <c r="IR31" s="1" t="n"/>
      <c r="IS31" s="1" t="n"/>
      <c r="IT31" s="1" t="n"/>
      <c r="IU31" s="1" t="n"/>
      <c r="IV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  <c r="AW32" s="1" t="n"/>
      <c r="AX32" s="1" t="n"/>
      <c r="AY32" s="1" t="n"/>
      <c r="AZ32" s="1" t="n"/>
      <c r="BA32" s="1" t="n"/>
      <c r="BB32" s="1" t="n"/>
      <c r="BC32" s="1" t="n"/>
      <c r="BD32" s="1" t="n"/>
      <c r="BE32" s="1" t="n"/>
      <c r="BF32" s="1" t="n"/>
      <c r="BG32" s="1" t="n"/>
      <c r="BH32" s="1" t="n"/>
      <c r="BI32" s="1" t="n"/>
      <c r="BJ32" s="1" t="n"/>
      <c r="BK32" s="1" t="n"/>
      <c r="BL32" s="1" t="n"/>
      <c r="BM32" s="1" t="n"/>
      <c r="BN32" s="1" t="n"/>
      <c r="BO32" s="1" t="n"/>
      <c r="BP32" s="1" t="n"/>
      <c r="BQ32" s="1" t="n"/>
      <c r="BR32" s="1" t="n"/>
      <c r="BS32" s="1" t="n"/>
      <c r="BT32" s="1" t="n"/>
      <c r="BU32" s="1" t="n"/>
      <c r="BV32" s="1" t="n"/>
      <c r="BW32" s="1" t="n"/>
      <c r="BX32" s="1" t="n"/>
      <c r="BY32" s="1" t="n"/>
      <c r="BZ32" s="1" t="n"/>
      <c r="CA32" s="1" t="n"/>
      <c r="CB32" s="1" t="n"/>
      <c r="CC32" s="1" t="n"/>
      <c r="CD32" s="1" t="n"/>
      <c r="CE32" s="1" t="n"/>
      <c r="CF32" s="1" t="n"/>
      <c r="CG32" s="1" t="n"/>
      <c r="CH32" s="1" t="n"/>
      <c r="CI32" s="1" t="n"/>
      <c r="CJ32" s="1" t="n"/>
      <c r="CK32" s="1" t="n"/>
      <c r="CL32" s="1" t="n"/>
      <c r="CM32" s="1" t="n"/>
      <c r="CN32" s="1" t="n"/>
      <c r="CO32" s="1" t="n"/>
      <c r="CP32" s="1" t="n"/>
      <c r="CQ32" s="1" t="n"/>
      <c r="CR32" s="1" t="n"/>
      <c r="CS32" s="1" t="n"/>
      <c r="CT32" s="1" t="n"/>
      <c r="CU32" s="1" t="n"/>
      <c r="CV32" s="1" t="n"/>
      <c r="CW32" s="1" t="n"/>
      <c r="CX32" s="1" t="n"/>
      <c r="CY32" s="1" t="n"/>
      <c r="CZ32" s="1" t="n"/>
      <c r="DA32" s="1" t="n"/>
      <c r="DB32" s="1" t="n"/>
      <c r="DC32" s="1" t="n"/>
      <c r="DD32" s="1" t="n"/>
      <c r="DE32" s="1" t="n"/>
      <c r="DF32" s="1" t="n"/>
      <c r="DG32" s="1" t="n"/>
      <c r="DH32" s="1" t="n"/>
      <c r="DI32" s="1" t="n"/>
      <c r="DJ32" s="1" t="n"/>
      <c r="DK32" s="1" t="n"/>
      <c r="DL32" s="1" t="n"/>
      <c r="DM32" s="1" t="n"/>
      <c r="DN32" s="1" t="n"/>
      <c r="DO32" s="1" t="n"/>
      <c r="DP32" s="1" t="n"/>
      <c r="DQ32" s="1" t="n"/>
      <c r="DR32" s="1" t="n"/>
      <c r="DS32" s="1" t="n"/>
      <c r="DT32" s="1" t="n"/>
      <c r="DU32" s="1" t="n"/>
      <c r="DV32" s="1" t="n"/>
      <c r="DW32" s="1" t="n"/>
      <c r="DX32" s="1" t="n"/>
      <c r="DY32" s="1" t="n"/>
      <c r="DZ32" s="1" t="n"/>
      <c r="EA32" s="1" t="n"/>
      <c r="EB32" s="1" t="n"/>
      <c r="EC32" s="1" t="n"/>
      <c r="ED32" s="1" t="n"/>
      <c r="EE32" s="1" t="n"/>
      <c r="EF32" s="1" t="n"/>
      <c r="EG32" s="1" t="n"/>
      <c r="EH32" s="1" t="n"/>
      <c r="EI32" s="1" t="n"/>
      <c r="EJ32" s="1" t="n"/>
      <c r="EK32" s="1" t="n"/>
      <c r="EL32" s="1" t="n"/>
      <c r="EM32" s="1" t="n"/>
      <c r="EN32" s="1" t="n"/>
      <c r="EO32" s="1" t="n"/>
      <c r="EP32" s="1" t="n"/>
      <c r="EQ32" s="1" t="n"/>
      <c r="ER32" s="1" t="n"/>
      <c r="ES32" s="1" t="n"/>
      <c r="ET32" s="1" t="n"/>
      <c r="EU32" s="1" t="n"/>
      <c r="EV32" s="1" t="n"/>
      <c r="EW32" s="1" t="n"/>
      <c r="EX32" s="1" t="n"/>
      <c r="EY32" s="1" t="n"/>
      <c r="EZ32" s="1" t="n"/>
      <c r="FA32" s="1" t="n"/>
      <c r="FB32" s="1" t="n"/>
      <c r="FC32" s="1" t="n"/>
      <c r="FD32" s="1" t="n"/>
      <c r="FE32" s="1" t="n"/>
      <c r="FF32" s="1" t="n"/>
      <c r="FG32" s="1" t="n"/>
      <c r="FH32" s="1" t="n"/>
      <c r="FI32" s="1" t="n"/>
      <c r="FJ32" s="1" t="n"/>
      <c r="FK32" s="1" t="n"/>
      <c r="FL32" s="1" t="n"/>
      <c r="FM32" s="1" t="n"/>
      <c r="FN32" s="1" t="n"/>
      <c r="FO32" s="1" t="n"/>
      <c r="FP32" s="1" t="n"/>
      <c r="FQ32" s="1" t="n"/>
      <c r="FR32" s="1" t="n"/>
      <c r="FS32" s="1" t="n"/>
      <c r="FT32" s="1" t="n"/>
      <c r="FU32" s="1" t="n"/>
      <c r="FV32" s="1" t="n"/>
      <c r="FW32" s="1" t="n"/>
      <c r="FX32" s="1" t="n"/>
      <c r="FY32" s="1" t="n"/>
      <c r="FZ32" s="1" t="n"/>
      <c r="GA32" s="1" t="n"/>
      <c r="GB32" s="1" t="n"/>
      <c r="GC32" s="1" t="n"/>
      <c r="GD32" s="1" t="n"/>
      <c r="GE32" s="1" t="n"/>
      <c r="GF32" s="1" t="n"/>
      <c r="GG32" s="1" t="n"/>
      <c r="GH32" s="1" t="n"/>
      <c r="GI32" s="1" t="n"/>
      <c r="GJ32" s="1" t="n"/>
      <c r="GK32" s="1" t="n"/>
      <c r="GL32" s="1" t="n"/>
      <c r="GM32" s="1" t="n"/>
      <c r="GN32" s="1" t="n"/>
      <c r="GO32" s="1" t="n"/>
      <c r="GP32" s="1" t="n"/>
      <c r="GQ32" s="1" t="n"/>
      <c r="GR32" s="1" t="n"/>
      <c r="GS32" s="1" t="n"/>
      <c r="GT32" s="1" t="n"/>
      <c r="GU32" s="1" t="n"/>
      <c r="GV32" s="1" t="n"/>
      <c r="GW32" s="1" t="n"/>
      <c r="GX32" s="1" t="n"/>
      <c r="GY32" s="1" t="n"/>
      <c r="GZ32" s="1" t="n"/>
      <c r="HA32" s="1" t="n"/>
      <c r="HB32" s="1" t="n"/>
      <c r="HC32" s="1" t="n"/>
      <c r="HD32" s="1" t="n"/>
      <c r="HE32" s="1" t="n"/>
      <c r="HF32" s="1" t="n"/>
      <c r="HG32" s="1" t="n"/>
      <c r="HH32" s="1" t="n"/>
      <c r="HI32" s="1" t="n"/>
      <c r="HJ32" s="1" t="n"/>
      <c r="HK32" s="1" t="n"/>
      <c r="HL32" s="1" t="n"/>
      <c r="HM32" s="1" t="n"/>
      <c r="HN32" s="1" t="n"/>
      <c r="HO32" s="1" t="n"/>
      <c r="HP32" s="1" t="n"/>
      <c r="HQ32" s="1" t="n"/>
      <c r="HR32" s="1" t="n"/>
      <c r="HS32" s="1" t="n"/>
      <c r="HT32" s="1" t="n"/>
      <c r="HU32" s="1" t="n"/>
      <c r="HV32" s="1" t="n"/>
      <c r="HW32" s="1" t="n"/>
      <c r="HX32" s="1" t="n"/>
      <c r="HY32" s="1" t="n"/>
      <c r="HZ32" s="1" t="n"/>
      <c r="IA32" s="1" t="n"/>
      <c r="IB32" s="1" t="n"/>
      <c r="IC32" s="1" t="n"/>
      <c r="ID32" s="1" t="n"/>
      <c r="IE32" s="1" t="n"/>
      <c r="IF32" s="1" t="n"/>
      <c r="IG32" s="1" t="n"/>
      <c r="IH32" s="1" t="n"/>
      <c r="II32" s="1" t="n"/>
      <c r="IJ32" s="1" t="n"/>
      <c r="IK32" s="1" t="n"/>
      <c r="IL32" s="1" t="n"/>
      <c r="IM32" s="1" t="n"/>
      <c r="IN32" s="1" t="n"/>
      <c r="IO32" s="1" t="n"/>
      <c r="IP32" s="1" t="n"/>
      <c r="IQ32" s="1" t="n"/>
      <c r="IR32" s="1" t="n"/>
      <c r="IS32" s="1" t="n"/>
      <c r="IT32" s="1" t="n"/>
      <c r="IU32" s="1" t="n"/>
      <c r="IV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  <c r="AW33" s="1" t="n"/>
      <c r="AX33" s="1" t="n"/>
      <c r="AY33" s="1" t="n"/>
      <c r="AZ33" s="1" t="n"/>
      <c r="BA33" s="1" t="n"/>
      <c r="BB33" s="1" t="n"/>
      <c r="BC33" s="1" t="n"/>
      <c r="BD33" s="1" t="n"/>
      <c r="BE33" s="1" t="n"/>
      <c r="BF33" s="1" t="n"/>
      <c r="BG33" s="1" t="n"/>
      <c r="BH33" s="1" t="n"/>
      <c r="BI33" s="1" t="n"/>
      <c r="BJ33" s="1" t="n"/>
      <c r="BK33" s="1" t="n"/>
      <c r="BL33" s="1" t="n"/>
      <c r="BM33" s="1" t="n"/>
      <c r="BN33" s="1" t="n"/>
      <c r="BO33" s="1" t="n"/>
      <c r="BP33" s="1" t="n"/>
      <c r="BQ33" s="1" t="n"/>
      <c r="BR33" s="1" t="n"/>
      <c r="BS33" s="1" t="n"/>
      <c r="BT33" s="1" t="n"/>
      <c r="BU33" s="1" t="n"/>
      <c r="BV33" s="1" t="n"/>
      <c r="BW33" s="1" t="n"/>
      <c r="BX33" s="1" t="n"/>
      <c r="BY33" s="1" t="n"/>
      <c r="BZ33" s="1" t="n"/>
      <c r="CA33" s="1" t="n"/>
      <c r="CB33" s="1" t="n"/>
      <c r="CC33" s="1" t="n"/>
      <c r="CD33" s="1" t="n"/>
      <c r="CE33" s="1" t="n"/>
      <c r="CF33" s="1" t="n"/>
      <c r="CG33" s="1" t="n"/>
      <c r="CH33" s="1" t="n"/>
      <c r="CI33" s="1" t="n"/>
      <c r="CJ33" s="1" t="n"/>
      <c r="CK33" s="1" t="n"/>
      <c r="CL33" s="1" t="n"/>
      <c r="CM33" s="1" t="n"/>
      <c r="CN33" s="1" t="n"/>
      <c r="CO33" s="1" t="n"/>
      <c r="CP33" s="1" t="n"/>
      <c r="CQ33" s="1" t="n"/>
      <c r="CR33" s="1" t="n"/>
      <c r="CS33" s="1" t="n"/>
      <c r="CT33" s="1" t="n"/>
      <c r="CU33" s="1" t="n"/>
      <c r="CV33" s="1" t="n"/>
      <c r="CW33" s="1" t="n"/>
      <c r="CX33" s="1" t="n"/>
      <c r="CY33" s="1" t="n"/>
      <c r="CZ33" s="1" t="n"/>
      <c r="DA33" s="1" t="n"/>
      <c r="DB33" s="1" t="n"/>
      <c r="DC33" s="1" t="n"/>
      <c r="DD33" s="1" t="n"/>
      <c r="DE33" s="1" t="n"/>
      <c r="DF33" s="1" t="n"/>
      <c r="DG33" s="1" t="n"/>
      <c r="DH33" s="1" t="n"/>
      <c r="DI33" s="1" t="n"/>
      <c r="DJ33" s="1" t="n"/>
      <c r="DK33" s="1" t="n"/>
      <c r="DL33" s="1" t="n"/>
      <c r="DM33" s="1" t="n"/>
      <c r="DN33" s="1" t="n"/>
      <c r="DO33" s="1" t="n"/>
      <c r="DP33" s="1" t="n"/>
      <c r="DQ33" s="1" t="n"/>
      <c r="DR33" s="1" t="n"/>
      <c r="DS33" s="1" t="n"/>
      <c r="DT33" s="1" t="n"/>
      <c r="DU33" s="1" t="n"/>
      <c r="DV33" s="1" t="n"/>
      <c r="DW33" s="1" t="n"/>
      <c r="DX33" s="1" t="n"/>
      <c r="DY33" s="1" t="n"/>
      <c r="DZ33" s="1" t="n"/>
      <c r="EA33" s="1" t="n"/>
      <c r="EB33" s="1" t="n"/>
      <c r="EC33" s="1" t="n"/>
      <c r="ED33" s="1" t="n"/>
      <c r="EE33" s="1" t="n"/>
      <c r="EF33" s="1" t="n"/>
      <c r="EG33" s="1" t="n"/>
      <c r="EH33" s="1" t="n"/>
      <c r="EI33" s="1" t="n"/>
      <c r="EJ33" s="1" t="n"/>
      <c r="EK33" s="1" t="n"/>
      <c r="EL33" s="1" t="n"/>
      <c r="EM33" s="1" t="n"/>
      <c r="EN33" s="1" t="n"/>
      <c r="EO33" s="1" t="n"/>
      <c r="EP33" s="1" t="n"/>
      <c r="EQ33" s="1" t="n"/>
      <c r="ER33" s="1" t="n"/>
      <c r="ES33" s="1" t="n"/>
      <c r="ET33" s="1" t="n"/>
      <c r="EU33" s="1" t="n"/>
      <c r="EV33" s="1" t="n"/>
      <c r="EW33" s="1" t="n"/>
      <c r="EX33" s="1" t="n"/>
      <c r="EY33" s="1" t="n"/>
      <c r="EZ33" s="1" t="n"/>
      <c r="FA33" s="1" t="n"/>
      <c r="FB33" s="1" t="n"/>
      <c r="FC33" s="1" t="n"/>
      <c r="FD33" s="1" t="n"/>
      <c r="FE33" s="1" t="n"/>
      <c r="FF33" s="1" t="n"/>
      <c r="FG33" s="1" t="n"/>
      <c r="FH33" s="1" t="n"/>
      <c r="FI33" s="1" t="n"/>
      <c r="FJ33" s="1" t="n"/>
      <c r="FK33" s="1" t="n"/>
      <c r="FL33" s="1" t="n"/>
      <c r="FM33" s="1" t="n"/>
      <c r="FN33" s="1" t="n"/>
      <c r="FO33" s="1" t="n"/>
      <c r="FP33" s="1" t="n"/>
      <c r="FQ33" s="1" t="n"/>
      <c r="FR33" s="1" t="n"/>
      <c r="FS33" s="1" t="n"/>
      <c r="FT33" s="1" t="n"/>
      <c r="FU33" s="1" t="n"/>
      <c r="FV33" s="1" t="n"/>
      <c r="FW33" s="1" t="n"/>
      <c r="FX33" s="1" t="n"/>
      <c r="FY33" s="1" t="n"/>
      <c r="FZ33" s="1" t="n"/>
      <c r="GA33" s="1" t="n"/>
      <c r="GB33" s="1" t="n"/>
      <c r="GC33" s="1" t="n"/>
      <c r="GD33" s="1" t="n"/>
      <c r="GE33" s="1" t="n"/>
      <c r="GF33" s="1" t="n"/>
      <c r="GG33" s="1" t="n"/>
      <c r="GH33" s="1" t="n"/>
      <c r="GI33" s="1" t="n"/>
      <c r="GJ33" s="1" t="n"/>
      <c r="GK33" s="1" t="n"/>
      <c r="GL33" s="1" t="n"/>
      <c r="GM33" s="1" t="n"/>
      <c r="GN33" s="1" t="n"/>
      <c r="GO33" s="1" t="n"/>
      <c r="GP33" s="1" t="n"/>
      <c r="GQ33" s="1" t="n"/>
      <c r="GR33" s="1" t="n"/>
      <c r="GS33" s="1" t="n"/>
      <c r="GT33" s="1" t="n"/>
      <c r="GU33" s="1" t="n"/>
      <c r="GV33" s="1" t="n"/>
      <c r="GW33" s="1" t="n"/>
      <c r="GX33" s="1" t="n"/>
      <c r="GY33" s="1" t="n"/>
      <c r="GZ33" s="1" t="n"/>
      <c r="HA33" s="1" t="n"/>
      <c r="HB33" s="1" t="n"/>
      <c r="HC33" s="1" t="n"/>
      <c r="HD33" s="1" t="n"/>
      <c r="HE33" s="1" t="n"/>
      <c r="HF33" s="1" t="n"/>
      <c r="HG33" s="1" t="n"/>
      <c r="HH33" s="1" t="n"/>
      <c r="HI33" s="1" t="n"/>
      <c r="HJ33" s="1" t="n"/>
      <c r="HK33" s="1" t="n"/>
      <c r="HL33" s="1" t="n"/>
      <c r="HM33" s="1" t="n"/>
      <c r="HN33" s="1" t="n"/>
      <c r="HO33" s="1" t="n"/>
      <c r="HP33" s="1" t="n"/>
      <c r="HQ33" s="1" t="n"/>
      <c r="HR33" s="1" t="n"/>
      <c r="HS33" s="1" t="n"/>
      <c r="HT33" s="1" t="n"/>
      <c r="HU33" s="1" t="n"/>
      <c r="HV33" s="1" t="n"/>
      <c r="HW33" s="1" t="n"/>
      <c r="HX33" s="1" t="n"/>
      <c r="HY33" s="1" t="n"/>
      <c r="HZ33" s="1" t="n"/>
      <c r="IA33" s="1" t="n"/>
      <c r="IB33" s="1" t="n"/>
      <c r="IC33" s="1" t="n"/>
      <c r="ID33" s="1" t="n"/>
      <c r="IE33" s="1" t="n"/>
      <c r="IF33" s="1" t="n"/>
      <c r="IG33" s="1" t="n"/>
      <c r="IH33" s="1" t="n"/>
      <c r="II33" s="1" t="n"/>
      <c r="IJ33" s="1" t="n"/>
      <c r="IK33" s="1" t="n"/>
      <c r="IL33" s="1" t="n"/>
      <c r="IM33" s="1" t="n"/>
      <c r="IN33" s="1" t="n"/>
      <c r="IO33" s="1" t="n"/>
      <c r="IP33" s="1" t="n"/>
      <c r="IQ33" s="1" t="n"/>
      <c r="IR33" s="1" t="n"/>
      <c r="IS33" s="1" t="n"/>
      <c r="IT33" s="1" t="n"/>
      <c r="IU33" s="1" t="n"/>
      <c r="IV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" t="n"/>
      <c r="AY34" s="1" t="n"/>
      <c r="AZ34" s="1" t="n"/>
      <c r="BA34" s="1" t="n"/>
      <c r="BB34" s="1" t="n"/>
      <c r="BC34" s="1" t="n"/>
      <c r="BD34" s="1" t="n"/>
      <c r="BE34" s="1" t="n"/>
      <c r="BF34" s="1" t="n"/>
      <c r="BG34" s="1" t="n"/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" t="n"/>
      <c r="BQ34" s="1" t="n"/>
      <c r="BR34" s="1" t="n"/>
      <c r="BS34" s="1" t="n"/>
      <c r="BT34" s="1" t="n"/>
      <c r="BU34" s="1" t="n"/>
      <c r="BV34" s="1" t="n"/>
      <c r="BW34" s="1" t="n"/>
      <c r="BX34" s="1" t="n"/>
      <c r="BY34" s="1" t="n"/>
      <c r="BZ34" s="1" t="n"/>
      <c r="CA34" s="1" t="n"/>
      <c r="CB34" s="1" t="n"/>
      <c r="CC34" s="1" t="n"/>
      <c r="CD34" s="1" t="n"/>
      <c r="CE34" s="1" t="n"/>
      <c r="CF34" s="1" t="n"/>
      <c r="CG34" s="1" t="n"/>
      <c r="CH34" s="1" t="n"/>
      <c r="CI34" s="1" t="n"/>
      <c r="CJ34" s="1" t="n"/>
      <c r="CK34" s="1" t="n"/>
      <c r="CL34" s="1" t="n"/>
      <c r="CM34" s="1" t="n"/>
      <c r="CN34" s="1" t="n"/>
      <c r="CO34" s="1" t="n"/>
      <c r="CP34" s="1" t="n"/>
      <c r="CQ34" s="1" t="n"/>
      <c r="CR34" s="1" t="n"/>
      <c r="CS34" s="1" t="n"/>
      <c r="CT34" s="1" t="n"/>
      <c r="CU34" s="1" t="n"/>
      <c r="CV34" s="1" t="n"/>
      <c r="CW34" s="1" t="n"/>
      <c r="CX34" s="1" t="n"/>
      <c r="CY34" s="1" t="n"/>
      <c r="CZ34" s="1" t="n"/>
      <c r="DA34" s="1" t="n"/>
      <c r="DB34" s="1" t="n"/>
      <c r="DC34" s="1" t="n"/>
      <c r="DD34" s="1" t="n"/>
      <c r="DE34" s="1" t="n"/>
      <c r="DF34" s="1" t="n"/>
      <c r="DG34" s="1" t="n"/>
      <c r="DH34" s="1" t="n"/>
      <c r="DI34" s="1" t="n"/>
      <c r="DJ34" s="1" t="n"/>
      <c r="DK34" s="1" t="n"/>
      <c r="DL34" s="1" t="n"/>
      <c r="DM34" s="1" t="n"/>
      <c r="DN34" s="1" t="n"/>
      <c r="DO34" s="1" t="n"/>
      <c r="DP34" s="1" t="n"/>
      <c r="DQ34" s="1" t="n"/>
      <c r="DR34" s="1" t="n"/>
      <c r="DS34" s="1" t="n"/>
      <c r="DT34" s="1" t="n"/>
      <c r="DU34" s="1" t="n"/>
      <c r="DV34" s="1" t="n"/>
      <c r="DW34" s="1" t="n"/>
      <c r="DX34" s="1" t="n"/>
      <c r="DY34" s="1" t="n"/>
      <c r="DZ34" s="1" t="n"/>
      <c r="EA34" s="1" t="n"/>
      <c r="EB34" s="1" t="n"/>
      <c r="EC34" s="1" t="n"/>
      <c r="ED34" s="1" t="n"/>
      <c r="EE34" s="1" t="n"/>
      <c r="EF34" s="1" t="n"/>
      <c r="EG34" s="1" t="n"/>
      <c r="EH34" s="1" t="n"/>
      <c r="EI34" s="1" t="n"/>
      <c r="EJ34" s="1" t="n"/>
      <c r="EK34" s="1" t="n"/>
      <c r="EL34" s="1" t="n"/>
      <c r="EM34" s="1" t="n"/>
      <c r="EN34" s="1" t="n"/>
      <c r="EO34" s="1" t="n"/>
      <c r="EP34" s="1" t="n"/>
      <c r="EQ34" s="1" t="n"/>
      <c r="ER34" s="1" t="n"/>
      <c r="ES34" s="1" t="n"/>
      <c r="ET34" s="1" t="n"/>
      <c r="EU34" s="1" t="n"/>
      <c r="EV34" s="1" t="n"/>
      <c r="EW34" s="1" t="n"/>
      <c r="EX34" s="1" t="n"/>
      <c r="EY34" s="1" t="n"/>
      <c r="EZ34" s="1" t="n"/>
      <c r="FA34" s="1" t="n"/>
      <c r="FB34" s="1" t="n"/>
      <c r="FC34" s="1" t="n"/>
      <c r="FD34" s="1" t="n"/>
      <c r="FE34" s="1" t="n"/>
      <c r="FF34" s="1" t="n"/>
      <c r="FG34" s="1" t="n"/>
      <c r="FH34" s="1" t="n"/>
      <c r="FI34" s="1" t="n"/>
      <c r="FJ34" s="1" t="n"/>
      <c r="FK34" s="1" t="n"/>
      <c r="FL34" s="1" t="n"/>
      <c r="FM34" s="1" t="n"/>
      <c r="FN34" s="1" t="n"/>
      <c r="FO34" s="1" t="n"/>
      <c r="FP34" s="1" t="n"/>
      <c r="FQ34" s="1" t="n"/>
      <c r="FR34" s="1" t="n"/>
      <c r="FS34" s="1" t="n"/>
      <c r="FT34" s="1" t="n"/>
      <c r="FU34" s="1" t="n"/>
      <c r="FV34" s="1" t="n"/>
      <c r="FW34" s="1" t="n"/>
      <c r="FX34" s="1" t="n"/>
      <c r="FY34" s="1" t="n"/>
      <c r="FZ34" s="1" t="n"/>
      <c r="GA34" s="1" t="n"/>
      <c r="GB34" s="1" t="n"/>
      <c r="GC34" s="1" t="n"/>
      <c r="GD34" s="1" t="n"/>
      <c r="GE34" s="1" t="n"/>
      <c r="GF34" s="1" t="n"/>
      <c r="GG34" s="1" t="n"/>
      <c r="GH34" s="1" t="n"/>
      <c r="GI34" s="1" t="n"/>
      <c r="GJ34" s="1" t="n"/>
      <c r="GK34" s="1" t="n"/>
      <c r="GL34" s="1" t="n"/>
      <c r="GM34" s="1" t="n"/>
      <c r="GN34" s="1" t="n"/>
      <c r="GO34" s="1" t="n"/>
      <c r="GP34" s="1" t="n"/>
      <c r="GQ34" s="1" t="n"/>
      <c r="GR34" s="1" t="n"/>
      <c r="GS34" s="1" t="n"/>
      <c r="GT34" s="1" t="n"/>
      <c r="GU34" s="1" t="n"/>
      <c r="GV34" s="1" t="n"/>
      <c r="GW34" s="1" t="n"/>
      <c r="GX34" s="1" t="n"/>
      <c r="GY34" s="1" t="n"/>
      <c r="GZ34" s="1" t="n"/>
      <c r="HA34" s="1" t="n"/>
      <c r="HB34" s="1" t="n"/>
      <c r="HC34" s="1" t="n"/>
      <c r="HD34" s="1" t="n"/>
      <c r="HE34" s="1" t="n"/>
      <c r="HF34" s="1" t="n"/>
      <c r="HG34" s="1" t="n"/>
      <c r="HH34" s="1" t="n"/>
      <c r="HI34" s="1" t="n"/>
      <c r="HJ34" s="1" t="n"/>
      <c r="HK34" s="1" t="n"/>
      <c r="HL34" s="1" t="n"/>
      <c r="HM34" s="1" t="n"/>
      <c r="HN34" s="1" t="n"/>
      <c r="HO34" s="1" t="n"/>
      <c r="HP34" s="1" t="n"/>
      <c r="HQ34" s="1" t="n"/>
      <c r="HR34" s="1" t="n"/>
      <c r="HS34" s="1" t="n"/>
      <c r="HT34" s="1" t="n"/>
      <c r="HU34" s="1" t="n"/>
      <c r="HV34" s="1" t="n"/>
      <c r="HW34" s="1" t="n"/>
      <c r="HX34" s="1" t="n"/>
      <c r="HY34" s="1" t="n"/>
      <c r="HZ34" s="1" t="n"/>
      <c r="IA34" s="1" t="n"/>
      <c r="IB34" s="1" t="n"/>
      <c r="IC34" s="1" t="n"/>
      <c r="ID34" s="1" t="n"/>
      <c r="IE34" s="1" t="n"/>
      <c r="IF34" s="1" t="n"/>
      <c r="IG34" s="1" t="n"/>
      <c r="IH34" s="1" t="n"/>
      <c r="II34" s="1" t="n"/>
      <c r="IJ34" s="1" t="n"/>
      <c r="IK34" s="1" t="n"/>
      <c r="IL34" s="1" t="n"/>
      <c r="IM34" s="1" t="n"/>
      <c r="IN34" s="1" t="n"/>
      <c r="IO34" s="1" t="n"/>
      <c r="IP34" s="1" t="n"/>
      <c r="IQ34" s="1" t="n"/>
      <c r="IR34" s="1" t="n"/>
      <c r="IS34" s="1" t="n"/>
      <c r="IT34" s="1" t="n"/>
      <c r="IU34" s="1" t="n"/>
      <c r="IV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  <c r="AY35" s="1" t="n"/>
      <c r="AZ35" s="1" t="n"/>
      <c r="BA35" s="1" t="n"/>
      <c r="BB35" s="1" t="n"/>
      <c r="BC35" s="1" t="n"/>
      <c r="BD35" s="1" t="n"/>
      <c r="BE35" s="1" t="n"/>
      <c r="BF35" s="1" t="n"/>
      <c r="BG35" s="1" t="n"/>
      <c r="BH35" s="1" t="n"/>
      <c r="BI35" s="1" t="n"/>
      <c r="BJ35" s="1" t="n"/>
      <c r="BK35" s="1" t="n"/>
      <c r="BL35" s="1" t="n"/>
      <c r="BM35" s="1" t="n"/>
      <c r="BN35" s="1" t="n"/>
      <c r="BO35" s="1" t="n"/>
      <c r="BP35" s="1" t="n"/>
      <c r="BQ35" s="1" t="n"/>
      <c r="BR35" s="1" t="n"/>
      <c r="BS35" s="1" t="n"/>
      <c r="BT35" s="1" t="n"/>
      <c r="BU35" s="1" t="n"/>
      <c r="BV35" s="1" t="n"/>
      <c r="BW35" s="1" t="n"/>
      <c r="BX35" s="1" t="n"/>
      <c r="BY35" s="1" t="n"/>
      <c r="BZ35" s="1" t="n"/>
      <c r="CA35" s="1" t="n"/>
      <c r="CB35" s="1" t="n"/>
      <c r="CC35" s="1" t="n"/>
      <c r="CD35" s="1" t="n"/>
      <c r="CE35" s="1" t="n"/>
      <c r="CF35" s="1" t="n"/>
      <c r="CG35" s="1" t="n"/>
      <c r="CH35" s="1" t="n"/>
      <c r="CI35" s="1" t="n"/>
      <c r="CJ35" s="1" t="n"/>
      <c r="CK35" s="1" t="n"/>
      <c r="CL35" s="1" t="n"/>
      <c r="CM35" s="1" t="n"/>
      <c r="CN35" s="1" t="n"/>
      <c r="CO35" s="1" t="n"/>
      <c r="CP35" s="1" t="n"/>
      <c r="CQ35" s="1" t="n"/>
      <c r="CR35" s="1" t="n"/>
      <c r="CS35" s="1" t="n"/>
      <c r="CT35" s="1" t="n"/>
      <c r="CU35" s="1" t="n"/>
      <c r="CV35" s="1" t="n"/>
      <c r="CW35" s="1" t="n"/>
      <c r="CX35" s="1" t="n"/>
      <c r="CY35" s="1" t="n"/>
      <c r="CZ35" s="1" t="n"/>
      <c r="DA35" s="1" t="n"/>
      <c r="DB35" s="1" t="n"/>
      <c r="DC35" s="1" t="n"/>
      <c r="DD35" s="1" t="n"/>
      <c r="DE35" s="1" t="n"/>
      <c r="DF35" s="1" t="n"/>
      <c r="DG35" s="1" t="n"/>
      <c r="DH35" s="1" t="n"/>
      <c r="DI35" s="1" t="n"/>
      <c r="DJ35" s="1" t="n"/>
      <c r="DK35" s="1" t="n"/>
      <c r="DL35" s="1" t="n"/>
      <c r="DM35" s="1" t="n"/>
      <c r="DN35" s="1" t="n"/>
      <c r="DO35" s="1" t="n"/>
      <c r="DP35" s="1" t="n"/>
      <c r="DQ35" s="1" t="n"/>
      <c r="DR35" s="1" t="n"/>
      <c r="DS35" s="1" t="n"/>
      <c r="DT35" s="1" t="n"/>
      <c r="DU35" s="1" t="n"/>
      <c r="DV35" s="1" t="n"/>
      <c r="DW35" s="1" t="n"/>
      <c r="DX35" s="1" t="n"/>
      <c r="DY35" s="1" t="n"/>
      <c r="DZ35" s="1" t="n"/>
      <c r="EA35" s="1" t="n"/>
      <c r="EB35" s="1" t="n"/>
      <c r="EC35" s="1" t="n"/>
      <c r="ED35" s="1" t="n"/>
      <c r="EE35" s="1" t="n"/>
      <c r="EF35" s="1" t="n"/>
      <c r="EG35" s="1" t="n"/>
      <c r="EH35" s="1" t="n"/>
      <c r="EI35" s="1" t="n"/>
      <c r="EJ35" s="1" t="n"/>
      <c r="EK35" s="1" t="n"/>
      <c r="EL35" s="1" t="n"/>
      <c r="EM35" s="1" t="n"/>
      <c r="EN35" s="1" t="n"/>
      <c r="EO35" s="1" t="n"/>
      <c r="EP35" s="1" t="n"/>
      <c r="EQ35" s="1" t="n"/>
      <c r="ER35" s="1" t="n"/>
      <c r="ES35" s="1" t="n"/>
      <c r="ET35" s="1" t="n"/>
      <c r="EU35" s="1" t="n"/>
      <c r="EV35" s="1" t="n"/>
      <c r="EW35" s="1" t="n"/>
      <c r="EX35" s="1" t="n"/>
      <c r="EY35" s="1" t="n"/>
      <c r="EZ35" s="1" t="n"/>
      <c r="FA35" s="1" t="n"/>
      <c r="FB35" s="1" t="n"/>
      <c r="FC35" s="1" t="n"/>
      <c r="FD35" s="1" t="n"/>
      <c r="FE35" s="1" t="n"/>
      <c r="FF35" s="1" t="n"/>
      <c r="FG35" s="1" t="n"/>
      <c r="FH35" s="1" t="n"/>
      <c r="FI35" s="1" t="n"/>
      <c r="FJ35" s="1" t="n"/>
      <c r="FK35" s="1" t="n"/>
      <c r="FL35" s="1" t="n"/>
      <c r="FM35" s="1" t="n"/>
      <c r="FN35" s="1" t="n"/>
      <c r="FO35" s="1" t="n"/>
      <c r="FP35" s="1" t="n"/>
      <c r="FQ35" s="1" t="n"/>
      <c r="FR35" s="1" t="n"/>
      <c r="FS35" s="1" t="n"/>
      <c r="FT35" s="1" t="n"/>
      <c r="FU35" s="1" t="n"/>
      <c r="FV35" s="1" t="n"/>
      <c r="FW35" s="1" t="n"/>
      <c r="FX35" s="1" t="n"/>
      <c r="FY35" s="1" t="n"/>
      <c r="FZ35" s="1" t="n"/>
      <c r="GA35" s="1" t="n"/>
      <c r="GB35" s="1" t="n"/>
      <c r="GC35" s="1" t="n"/>
      <c r="GD35" s="1" t="n"/>
      <c r="GE35" s="1" t="n"/>
      <c r="GF35" s="1" t="n"/>
      <c r="GG35" s="1" t="n"/>
      <c r="GH35" s="1" t="n"/>
      <c r="GI35" s="1" t="n"/>
      <c r="GJ35" s="1" t="n"/>
      <c r="GK35" s="1" t="n"/>
      <c r="GL35" s="1" t="n"/>
      <c r="GM35" s="1" t="n"/>
      <c r="GN35" s="1" t="n"/>
      <c r="GO35" s="1" t="n"/>
      <c r="GP35" s="1" t="n"/>
      <c r="GQ35" s="1" t="n"/>
      <c r="GR35" s="1" t="n"/>
      <c r="GS35" s="1" t="n"/>
      <c r="GT35" s="1" t="n"/>
      <c r="GU35" s="1" t="n"/>
      <c r="GV35" s="1" t="n"/>
      <c r="GW35" s="1" t="n"/>
      <c r="GX35" s="1" t="n"/>
      <c r="GY35" s="1" t="n"/>
      <c r="GZ35" s="1" t="n"/>
      <c r="HA35" s="1" t="n"/>
      <c r="HB35" s="1" t="n"/>
      <c r="HC35" s="1" t="n"/>
      <c r="HD35" s="1" t="n"/>
      <c r="HE35" s="1" t="n"/>
      <c r="HF35" s="1" t="n"/>
      <c r="HG35" s="1" t="n"/>
      <c r="HH35" s="1" t="n"/>
      <c r="HI35" s="1" t="n"/>
      <c r="HJ35" s="1" t="n"/>
      <c r="HK35" s="1" t="n"/>
      <c r="HL35" s="1" t="n"/>
      <c r="HM35" s="1" t="n"/>
      <c r="HN35" s="1" t="n"/>
      <c r="HO35" s="1" t="n"/>
      <c r="HP35" s="1" t="n"/>
      <c r="HQ35" s="1" t="n"/>
      <c r="HR35" s="1" t="n"/>
      <c r="HS35" s="1" t="n"/>
      <c r="HT35" s="1" t="n"/>
      <c r="HU35" s="1" t="n"/>
      <c r="HV35" s="1" t="n"/>
      <c r="HW35" s="1" t="n"/>
      <c r="HX35" s="1" t="n"/>
      <c r="HY35" s="1" t="n"/>
      <c r="HZ35" s="1" t="n"/>
      <c r="IA35" s="1" t="n"/>
      <c r="IB35" s="1" t="n"/>
      <c r="IC35" s="1" t="n"/>
      <c r="ID35" s="1" t="n"/>
      <c r="IE35" s="1" t="n"/>
      <c r="IF35" s="1" t="n"/>
      <c r="IG35" s="1" t="n"/>
      <c r="IH35" s="1" t="n"/>
      <c r="II35" s="1" t="n"/>
      <c r="IJ35" s="1" t="n"/>
      <c r="IK35" s="1" t="n"/>
      <c r="IL35" s="1" t="n"/>
      <c r="IM35" s="1" t="n"/>
      <c r="IN35" s="1" t="n"/>
      <c r="IO35" s="1" t="n"/>
      <c r="IP35" s="1" t="n"/>
      <c r="IQ35" s="1" t="n"/>
      <c r="IR35" s="1" t="n"/>
      <c r="IS35" s="1" t="n"/>
      <c r="IT35" s="1" t="n"/>
      <c r="IU35" s="1" t="n"/>
      <c r="IV35" s="1" t="n"/>
    </row>
    <row r="36">
      <c r="A36" s="1" t="n"/>
      <c r="B36" s="65" t="n"/>
      <c r="C36" s="1" t="n"/>
      <c r="D36" s="1" t="n"/>
      <c r="E36" s="1" t="n"/>
      <c r="F36" s="168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  <c r="AW36" s="1" t="n"/>
      <c r="AX36" s="1" t="n"/>
      <c r="AY36" s="1" t="n"/>
      <c r="AZ36" s="1" t="n"/>
      <c r="BA36" s="1" t="n"/>
      <c r="BB36" s="1" t="n"/>
      <c r="BC36" s="1" t="n"/>
      <c r="BD36" s="1" t="n"/>
      <c r="BE36" s="1" t="n"/>
      <c r="BF36" s="1" t="n"/>
      <c r="BG36" s="1" t="n"/>
      <c r="BH36" s="1" t="n"/>
      <c r="BI36" s="1" t="n"/>
      <c r="BJ36" s="1" t="n"/>
      <c r="BK36" s="1" t="n"/>
      <c r="BL36" s="1" t="n"/>
      <c r="BM36" s="1" t="n"/>
      <c r="BN36" s="1" t="n"/>
      <c r="BO36" s="1" t="n"/>
      <c r="BP36" s="1" t="n"/>
      <c r="BQ36" s="1" t="n"/>
      <c r="BR36" s="1" t="n"/>
      <c r="BS36" s="1" t="n"/>
      <c r="BT36" s="1" t="n"/>
      <c r="BU36" s="1" t="n"/>
      <c r="BV36" s="1" t="n"/>
      <c r="BW36" s="1" t="n"/>
      <c r="BX36" s="1" t="n"/>
      <c r="BY36" s="1" t="n"/>
      <c r="BZ36" s="1" t="n"/>
      <c r="CA36" s="1" t="n"/>
      <c r="CB36" s="1" t="n"/>
      <c r="CC36" s="1" t="n"/>
      <c r="CD36" s="1" t="n"/>
      <c r="CE36" s="1" t="n"/>
      <c r="CF36" s="1" t="n"/>
      <c r="CG36" s="1" t="n"/>
      <c r="CH36" s="1" t="n"/>
      <c r="CI36" s="1" t="n"/>
      <c r="CJ36" s="1" t="n"/>
      <c r="CK36" s="1" t="n"/>
      <c r="CL36" s="1" t="n"/>
      <c r="CM36" s="1" t="n"/>
      <c r="CN36" s="1" t="n"/>
      <c r="CO36" s="1" t="n"/>
      <c r="CP36" s="1" t="n"/>
      <c r="CQ36" s="1" t="n"/>
      <c r="CR36" s="1" t="n"/>
      <c r="CS36" s="1" t="n"/>
      <c r="CT36" s="1" t="n"/>
      <c r="CU36" s="1" t="n"/>
      <c r="CV36" s="1" t="n"/>
      <c r="CW36" s="1" t="n"/>
      <c r="CX36" s="1" t="n"/>
      <c r="CY36" s="1" t="n"/>
      <c r="CZ36" s="1" t="n"/>
      <c r="DA36" s="1" t="n"/>
      <c r="DB36" s="1" t="n"/>
      <c r="DC36" s="1" t="n"/>
      <c r="DD36" s="1" t="n"/>
      <c r="DE36" s="1" t="n"/>
      <c r="DF36" s="1" t="n"/>
      <c r="DG36" s="1" t="n"/>
      <c r="DH36" s="1" t="n"/>
      <c r="DI36" s="1" t="n"/>
      <c r="DJ36" s="1" t="n"/>
      <c r="DK36" s="1" t="n"/>
      <c r="DL36" s="1" t="n"/>
      <c r="DM36" s="1" t="n"/>
      <c r="DN36" s="1" t="n"/>
      <c r="DO36" s="1" t="n"/>
      <c r="DP36" s="1" t="n"/>
      <c r="DQ36" s="1" t="n"/>
      <c r="DR36" s="1" t="n"/>
      <c r="DS36" s="1" t="n"/>
      <c r="DT36" s="1" t="n"/>
      <c r="DU36" s="1" t="n"/>
      <c r="DV36" s="1" t="n"/>
      <c r="DW36" s="1" t="n"/>
      <c r="DX36" s="1" t="n"/>
      <c r="DY36" s="1" t="n"/>
      <c r="DZ36" s="1" t="n"/>
      <c r="EA36" s="1" t="n"/>
      <c r="EB36" s="1" t="n"/>
      <c r="EC36" s="1" t="n"/>
      <c r="ED36" s="1" t="n"/>
      <c r="EE36" s="1" t="n"/>
      <c r="EF36" s="1" t="n"/>
      <c r="EG36" s="1" t="n"/>
      <c r="EH36" s="1" t="n"/>
      <c r="EI36" s="1" t="n"/>
      <c r="EJ36" s="1" t="n"/>
      <c r="EK36" s="1" t="n"/>
      <c r="EL36" s="1" t="n"/>
      <c r="EM36" s="1" t="n"/>
      <c r="EN36" s="1" t="n"/>
      <c r="EO36" s="1" t="n"/>
      <c r="EP36" s="1" t="n"/>
      <c r="EQ36" s="1" t="n"/>
      <c r="ER36" s="1" t="n"/>
      <c r="ES36" s="1" t="n"/>
      <c r="ET36" s="1" t="n"/>
      <c r="EU36" s="1" t="n"/>
      <c r="EV36" s="1" t="n"/>
      <c r="EW36" s="1" t="n"/>
      <c r="EX36" s="1" t="n"/>
      <c r="EY36" s="1" t="n"/>
      <c r="EZ36" s="1" t="n"/>
      <c r="FA36" s="1" t="n"/>
      <c r="FB36" s="1" t="n"/>
      <c r="FC36" s="1" t="n"/>
      <c r="FD36" s="1" t="n"/>
      <c r="FE36" s="1" t="n"/>
      <c r="FF36" s="1" t="n"/>
      <c r="FG36" s="1" t="n"/>
      <c r="FH36" s="1" t="n"/>
      <c r="FI36" s="1" t="n"/>
      <c r="FJ36" s="1" t="n"/>
      <c r="FK36" s="1" t="n"/>
      <c r="FL36" s="1" t="n"/>
      <c r="FM36" s="1" t="n"/>
      <c r="FN36" s="1" t="n"/>
      <c r="FO36" s="1" t="n"/>
      <c r="FP36" s="1" t="n"/>
      <c r="FQ36" s="1" t="n"/>
      <c r="FR36" s="1" t="n"/>
      <c r="FS36" s="1" t="n"/>
      <c r="FT36" s="1" t="n"/>
      <c r="FU36" s="1" t="n"/>
      <c r="FV36" s="1" t="n"/>
      <c r="FW36" s="1" t="n"/>
      <c r="FX36" s="1" t="n"/>
      <c r="FY36" s="1" t="n"/>
      <c r="FZ36" s="1" t="n"/>
      <c r="GA36" s="1" t="n"/>
      <c r="GB36" s="1" t="n"/>
      <c r="GC36" s="1" t="n"/>
      <c r="GD36" s="1" t="n"/>
      <c r="GE36" s="1" t="n"/>
      <c r="GF36" s="1" t="n"/>
      <c r="GG36" s="1" t="n"/>
      <c r="GH36" s="1" t="n"/>
      <c r="GI36" s="1" t="n"/>
      <c r="GJ36" s="1" t="n"/>
      <c r="GK36" s="1" t="n"/>
      <c r="GL36" s="1" t="n"/>
      <c r="GM36" s="1" t="n"/>
      <c r="GN36" s="1" t="n"/>
      <c r="GO36" s="1" t="n"/>
      <c r="GP36" s="1" t="n"/>
      <c r="GQ36" s="1" t="n"/>
      <c r="GR36" s="1" t="n"/>
      <c r="GS36" s="1" t="n"/>
      <c r="GT36" s="1" t="n"/>
      <c r="GU36" s="1" t="n"/>
      <c r="GV36" s="1" t="n"/>
      <c r="GW36" s="1" t="n"/>
      <c r="GX36" s="1" t="n"/>
      <c r="GY36" s="1" t="n"/>
      <c r="GZ36" s="1" t="n"/>
      <c r="HA36" s="1" t="n"/>
      <c r="HB36" s="1" t="n"/>
      <c r="HC36" s="1" t="n"/>
      <c r="HD36" s="1" t="n"/>
      <c r="HE36" s="1" t="n"/>
      <c r="HF36" s="1" t="n"/>
      <c r="HG36" s="1" t="n"/>
      <c r="HH36" s="1" t="n"/>
      <c r="HI36" s="1" t="n"/>
      <c r="HJ36" s="1" t="n"/>
      <c r="HK36" s="1" t="n"/>
      <c r="HL36" s="1" t="n"/>
      <c r="HM36" s="1" t="n"/>
      <c r="HN36" s="1" t="n"/>
      <c r="HO36" s="1" t="n"/>
      <c r="HP36" s="1" t="n"/>
      <c r="HQ36" s="1" t="n"/>
      <c r="HR36" s="1" t="n"/>
      <c r="HS36" s="1" t="n"/>
      <c r="HT36" s="1" t="n"/>
      <c r="HU36" s="1" t="n"/>
      <c r="HV36" s="1" t="n"/>
      <c r="HW36" s="1" t="n"/>
      <c r="HX36" s="1" t="n"/>
      <c r="HY36" s="1" t="n"/>
      <c r="HZ36" s="1" t="n"/>
      <c r="IA36" s="1" t="n"/>
      <c r="IB36" s="1" t="n"/>
      <c r="IC36" s="1" t="n"/>
      <c r="ID36" s="1" t="n"/>
      <c r="IE36" s="1" t="n"/>
      <c r="IF36" s="1" t="n"/>
      <c r="IG36" s="1" t="n"/>
      <c r="IH36" s="1" t="n"/>
      <c r="II36" s="1" t="n"/>
      <c r="IJ36" s="1" t="n"/>
      <c r="IK36" s="1" t="n"/>
      <c r="IL36" s="1" t="n"/>
      <c r="IM36" s="1" t="n"/>
      <c r="IN36" s="1" t="n"/>
      <c r="IO36" s="1" t="n"/>
      <c r="IP36" s="1" t="n"/>
      <c r="IQ36" s="1" t="n"/>
      <c r="IR36" s="1" t="n"/>
      <c r="IS36" s="1" t="n"/>
      <c r="IT36" s="1" t="n"/>
      <c r="IU36" s="1" t="n"/>
      <c r="IV36" s="1" t="n"/>
    </row>
    <row r="37">
      <c r="A37" s="1" t="n"/>
      <c r="B37" s="65" t="n"/>
      <c r="C37" s="1" t="n"/>
      <c r="D37" s="1" t="n"/>
      <c r="E37" s="1" t="n"/>
      <c r="F37" s="66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  <c r="AW37" s="1" t="n"/>
      <c r="AX37" s="1" t="n"/>
      <c r="AY37" s="1" t="n"/>
      <c r="AZ37" s="1" t="n"/>
      <c r="BA37" s="1" t="n"/>
      <c r="BB37" s="1" t="n"/>
      <c r="BC37" s="1" t="n"/>
      <c r="BD37" s="1" t="n"/>
      <c r="BE37" s="1" t="n"/>
      <c r="BF37" s="1" t="n"/>
      <c r="BG37" s="1" t="n"/>
      <c r="BH37" s="1" t="n"/>
      <c r="BI37" s="1" t="n"/>
      <c r="BJ37" s="1" t="n"/>
      <c r="BK37" s="1" t="n"/>
      <c r="BL37" s="1" t="n"/>
      <c r="BM37" s="1" t="n"/>
      <c r="BN37" s="1" t="n"/>
      <c r="BO37" s="1" t="n"/>
      <c r="BP37" s="1" t="n"/>
      <c r="BQ37" s="1" t="n"/>
      <c r="BR37" s="1" t="n"/>
      <c r="BS37" s="1" t="n"/>
      <c r="BT37" s="1" t="n"/>
      <c r="BU37" s="1" t="n"/>
      <c r="BV37" s="1" t="n"/>
      <c r="BW37" s="1" t="n"/>
      <c r="BX37" s="1" t="n"/>
      <c r="BY37" s="1" t="n"/>
      <c r="BZ37" s="1" t="n"/>
      <c r="CA37" s="1" t="n"/>
      <c r="CB37" s="1" t="n"/>
      <c r="CC37" s="1" t="n"/>
      <c r="CD37" s="1" t="n"/>
      <c r="CE37" s="1" t="n"/>
      <c r="CF37" s="1" t="n"/>
      <c r="CG37" s="1" t="n"/>
      <c r="CH37" s="1" t="n"/>
      <c r="CI37" s="1" t="n"/>
      <c r="CJ37" s="1" t="n"/>
      <c r="CK37" s="1" t="n"/>
      <c r="CL37" s="1" t="n"/>
      <c r="CM37" s="1" t="n"/>
      <c r="CN37" s="1" t="n"/>
      <c r="CO37" s="1" t="n"/>
      <c r="CP37" s="1" t="n"/>
      <c r="CQ37" s="1" t="n"/>
      <c r="CR37" s="1" t="n"/>
      <c r="CS37" s="1" t="n"/>
      <c r="CT37" s="1" t="n"/>
      <c r="CU37" s="1" t="n"/>
      <c r="CV37" s="1" t="n"/>
      <c r="CW37" s="1" t="n"/>
      <c r="CX37" s="1" t="n"/>
      <c r="CY37" s="1" t="n"/>
      <c r="CZ37" s="1" t="n"/>
      <c r="DA37" s="1" t="n"/>
      <c r="DB37" s="1" t="n"/>
      <c r="DC37" s="1" t="n"/>
      <c r="DD37" s="1" t="n"/>
      <c r="DE37" s="1" t="n"/>
      <c r="DF37" s="1" t="n"/>
      <c r="DG37" s="1" t="n"/>
      <c r="DH37" s="1" t="n"/>
      <c r="DI37" s="1" t="n"/>
      <c r="DJ37" s="1" t="n"/>
      <c r="DK37" s="1" t="n"/>
      <c r="DL37" s="1" t="n"/>
      <c r="DM37" s="1" t="n"/>
      <c r="DN37" s="1" t="n"/>
      <c r="DO37" s="1" t="n"/>
      <c r="DP37" s="1" t="n"/>
      <c r="DQ37" s="1" t="n"/>
      <c r="DR37" s="1" t="n"/>
      <c r="DS37" s="1" t="n"/>
      <c r="DT37" s="1" t="n"/>
      <c r="DU37" s="1" t="n"/>
      <c r="DV37" s="1" t="n"/>
      <c r="DW37" s="1" t="n"/>
      <c r="DX37" s="1" t="n"/>
      <c r="DY37" s="1" t="n"/>
      <c r="DZ37" s="1" t="n"/>
      <c r="EA37" s="1" t="n"/>
      <c r="EB37" s="1" t="n"/>
      <c r="EC37" s="1" t="n"/>
      <c r="ED37" s="1" t="n"/>
      <c r="EE37" s="1" t="n"/>
      <c r="EF37" s="1" t="n"/>
      <c r="EG37" s="1" t="n"/>
      <c r="EH37" s="1" t="n"/>
      <c r="EI37" s="1" t="n"/>
      <c r="EJ37" s="1" t="n"/>
      <c r="EK37" s="1" t="n"/>
      <c r="EL37" s="1" t="n"/>
      <c r="EM37" s="1" t="n"/>
      <c r="EN37" s="1" t="n"/>
      <c r="EO37" s="1" t="n"/>
      <c r="EP37" s="1" t="n"/>
      <c r="EQ37" s="1" t="n"/>
      <c r="ER37" s="1" t="n"/>
      <c r="ES37" s="1" t="n"/>
      <c r="ET37" s="1" t="n"/>
      <c r="EU37" s="1" t="n"/>
      <c r="EV37" s="1" t="n"/>
      <c r="EW37" s="1" t="n"/>
      <c r="EX37" s="1" t="n"/>
      <c r="EY37" s="1" t="n"/>
      <c r="EZ37" s="1" t="n"/>
      <c r="FA37" s="1" t="n"/>
      <c r="FB37" s="1" t="n"/>
      <c r="FC37" s="1" t="n"/>
      <c r="FD37" s="1" t="n"/>
      <c r="FE37" s="1" t="n"/>
      <c r="FF37" s="1" t="n"/>
      <c r="FG37" s="1" t="n"/>
      <c r="FH37" s="1" t="n"/>
      <c r="FI37" s="1" t="n"/>
      <c r="FJ37" s="1" t="n"/>
      <c r="FK37" s="1" t="n"/>
      <c r="FL37" s="1" t="n"/>
      <c r="FM37" s="1" t="n"/>
      <c r="FN37" s="1" t="n"/>
      <c r="FO37" s="1" t="n"/>
      <c r="FP37" s="1" t="n"/>
      <c r="FQ37" s="1" t="n"/>
      <c r="FR37" s="1" t="n"/>
      <c r="FS37" s="1" t="n"/>
      <c r="FT37" s="1" t="n"/>
      <c r="FU37" s="1" t="n"/>
      <c r="FV37" s="1" t="n"/>
      <c r="FW37" s="1" t="n"/>
      <c r="FX37" s="1" t="n"/>
      <c r="FY37" s="1" t="n"/>
      <c r="FZ37" s="1" t="n"/>
      <c r="GA37" s="1" t="n"/>
      <c r="GB37" s="1" t="n"/>
      <c r="GC37" s="1" t="n"/>
      <c r="GD37" s="1" t="n"/>
      <c r="GE37" s="1" t="n"/>
      <c r="GF37" s="1" t="n"/>
      <c r="GG37" s="1" t="n"/>
      <c r="GH37" s="1" t="n"/>
      <c r="GI37" s="1" t="n"/>
      <c r="GJ37" s="1" t="n"/>
      <c r="GK37" s="1" t="n"/>
      <c r="GL37" s="1" t="n"/>
      <c r="GM37" s="1" t="n"/>
      <c r="GN37" s="1" t="n"/>
      <c r="GO37" s="1" t="n"/>
      <c r="GP37" s="1" t="n"/>
      <c r="GQ37" s="1" t="n"/>
      <c r="GR37" s="1" t="n"/>
      <c r="GS37" s="1" t="n"/>
      <c r="GT37" s="1" t="n"/>
      <c r="GU37" s="1" t="n"/>
      <c r="GV37" s="1" t="n"/>
      <c r="GW37" s="1" t="n"/>
      <c r="GX37" s="1" t="n"/>
      <c r="GY37" s="1" t="n"/>
      <c r="GZ37" s="1" t="n"/>
      <c r="HA37" s="1" t="n"/>
      <c r="HB37" s="1" t="n"/>
      <c r="HC37" s="1" t="n"/>
      <c r="HD37" s="1" t="n"/>
      <c r="HE37" s="1" t="n"/>
      <c r="HF37" s="1" t="n"/>
      <c r="HG37" s="1" t="n"/>
      <c r="HH37" s="1" t="n"/>
      <c r="HI37" s="1" t="n"/>
      <c r="HJ37" s="1" t="n"/>
      <c r="HK37" s="1" t="n"/>
      <c r="HL37" s="1" t="n"/>
      <c r="HM37" s="1" t="n"/>
      <c r="HN37" s="1" t="n"/>
      <c r="HO37" s="1" t="n"/>
      <c r="HP37" s="1" t="n"/>
      <c r="HQ37" s="1" t="n"/>
      <c r="HR37" s="1" t="n"/>
      <c r="HS37" s="1" t="n"/>
      <c r="HT37" s="1" t="n"/>
      <c r="HU37" s="1" t="n"/>
      <c r="HV37" s="1" t="n"/>
      <c r="HW37" s="1" t="n"/>
      <c r="HX37" s="1" t="n"/>
      <c r="HY37" s="1" t="n"/>
      <c r="HZ37" s="1" t="n"/>
      <c r="IA37" s="1" t="n"/>
      <c r="IB37" s="1" t="n"/>
      <c r="IC37" s="1" t="n"/>
      <c r="ID37" s="1" t="n"/>
      <c r="IE37" s="1" t="n"/>
      <c r="IF37" s="1" t="n"/>
      <c r="IG37" s="1" t="n"/>
      <c r="IH37" s="1" t="n"/>
      <c r="II37" s="1" t="n"/>
      <c r="IJ37" s="1" t="n"/>
      <c r="IK37" s="1" t="n"/>
      <c r="IL37" s="1" t="n"/>
      <c r="IM37" s="1" t="n"/>
      <c r="IN37" s="1" t="n"/>
      <c r="IO37" s="1" t="n"/>
      <c r="IP37" s="1" t="n"/>
      <c r="IQ37" s="1" t="n"/>
      <c r="IR37" s="1" t="n"/>
      <c r="IS37" s="1" t="n"/>
      <c r="IT37" s="1" t="n"/>
      <c r="IU37" s="1" t="n"/>
      <c r="IV37" s="1" t="n"/>
    </row>
    <row r="38" ht="15.5" customHeight="1">
      <c r="A38" s="1" t="n"/>
      <c r="B38" s="65" t="n"/>
      <c r="C38" s="1" t="n"/>
      <c r="D38" s="1" t="n"/>
      <c r="E38" s="39" t="n"/>
      <c r="F38" s="175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  <c r="AW38" s="1" t="n"/>
      <c r="AX38" s="1" t="n"/>
      <c r="AY38" s="1" t="n"/>
      <c r="AZ38" s="1" t="n"/>
      <c r="BA38" s="1" t="n"/>
      <c r="BB38" s="1" t="n"/>
      <c r="BC38" s="1" t="n"/>
      <c r="BD38" s="1" t="n"/>
      <c r="BE38" s="1" t="n"/>
      <c r="BF38" s="1" t="n"/>
      <c r="BG38" s="1" t="n"/>
      <c r="BH38" s="1" t="n"/>
      <c r="BI38" s="1" t="n"/>
      <c r="BJ38" s="1" t="n"/>
      <c r="BK38" s="1" t="n"/>
      <c r="BL38" s="1" t="n"/>
      <c r="BM38" s="1" t="n"/>
      <c r="BN38" s="1" t="n"/>
      <c r="BO38" s="1" t="n"/>
      <c r="BP38" s="1" t="n"/>
      <c r="BQ38" s="1" t="n"/>
      <c r="BR38" s="1" t="n"/>
      <c r="BS38" s="1" t="n"/>
      <c r="BT38" s="1" t="n"/>
      <c r="BU38" s="1" t="n"/>
      <c r="BV38" s="1" t="n"/>
      <c r="BW38" s="1" t="n"/>
      <c r="BX38" s="1" t="n"/>
      <c r="BY38" s="1" t="n"/>
      <c r="BZ38" s="1" t="n"/>
      <c r="CA38" s="1" t="n"/>
      <c r="CB38" s="1" t="n"/>
      <c r="CC38" s="1" t="n"/>
      <c r="CD38" s="1" t="n"/>
      <c r="CE38" s="1" t="n"/>
      <c r="CF38" s="1" t="n"/>
      <c r="CG38" s="1" t="n"/>
      <c r="CH38" s="1" t="n"/>
      <c r="CI38" s="1" t="n"/>
      <c r="CJ38" s="1" t="n"/>
      <c r="CK38" s="1" t="n"/>
      <c r="CL38" s="1" t="n"/>
      <c r="CM38" s="1" t="n"/>
      <c r="CN38" s="1" t="n"/>
      <c r="CO38" s="1" t="n"/>
      <c r="CP38" s="1" t="n"/>
      <c r="CQ38" s="1" t="n"/>
      <c r="CR38" s="1" t="n"/>
      <c r="CS38" s="1" t="n"/>
      <c r="CT38" s="1" t="n"/>
      <c r="CU38" s="1" t="n"/>
      <c r="CV38" s="1" t="n"/>
      <c r="CW38" s="1" t="n"/>
      <c r="CX38" s="1" t="n"/>
      <c r="CY38" s="1" t="n"/>
      <c r="CZ38" s="1" t="n"/>
      <c r="DA38" s="1" t="n"/>
      <c r="DB38" s="1" t="n"/>
      <c r="DC38" s="1" t="n"/>
      <c r="DD38" s="1" t="n"/>
      <c r="DE38" s="1" t="n"/>
      <c r="DF38" s="1" t="n"/>
      <c r="DG38" s="1" t="n"/>
      <c r="DH38" s="1" t="n"/>
      <c r="DI38" s="1" t="n"/>
      <c r="DJ38" s="1" t="n"/>
      <c r="DK38" s="1" t="n"/>
      <c r="DL38" s="1" t="n"/>
      <c r="DM38" s="1" t="n"/>
      <c r="DN38" s="1" t="n"/>
      <c r="DO38" s="1" t="n"/>
      <c r="DP38" s="1" t="n"/>
      <c r="DQ38" s="1" t="n"/>
      <c r="DR38" s="1" t="n"/>
      <c r="DS38" s="1" t="n"/>
      <c r="DT38" s="1" t="n"/>
      <c r="DU38" s="1" t="n"/>
      <c r="DV38" s="1" t="n"/>
      <c r="DW38" s="1" t="n"/>
      <c r="DX38" s="1" t="n"/>
      <c r="DY38" s="1" t="n"/>
      <c r="DZ38" s="1" t="n"/>
      <c r="EA38" s="1" t="n"/>
      <c r="EB38" s="1" t="n"/>
      <c r="EC38" s="1" t="n"/>
      <c r="ED38" s="1" t="n"/>
      <c r="EE38" s="1" t="n"/>
      <c r="EF38" s="1" t="n"/>
      <c r="EG38" s="1" t="n"/>
      <c r="EH38" s="1" t="n"/>
      <c r="EI38" s="1" t="n"/>
      <c r="EJ38" s="1" t="n"/>
      <c r="EK38" s="1" t="n"/>
      <c r="EL38" s="1" t="n"/>
      <c r="EM38" s="1" t="n"/>
      <c r="EN38" s="1" t="n"/>
      <c r="EO38" s="1" t="n"/>
      <c r="EP38" s="1" t="n"/>
      <c r="EQ38" s="1" t="n"/>
      <c r="ER38" s="1" t="n"/>
      <c r="ES38" s="1" t="n"/>
      <c r="ET38" s="1" t="n"/>
      <c r="EU38" s="1" t="n"/>
      <c r="EV38" s="1" t="n"/>
      <c r="EW38" s="1" t="n"/>
      <c r="EX38" s="1" t="n"/>
      <c r="EY38" s="1" t="n"/>
      <c r="EZ38" s="1" t="n"/>
      <c r="FA38" s="1" t="n"/>
      <c r="FB38" s="1" t="n"/>
      <c r="FC38" s="1" t="n"/>
      <c r="FD38" s="1" t="n"/>
      <c r="FE38" s="1" t="n"/>
      <c r="FF38" s="1" t="n"/>
      <c r="FG38" s="1" t="n"/>
      <c r="FH38" s="1" t="n"/>
      <c r="FI38" s="1" t="n"/>
      <c r="FJ38" s="1" t="n"/>
      <c r="FK38" s="1" t="n"/>
      <c r="FL38" s="1" t="n"/>
      <c r="FM38" s="1" t="n"/>
      <c r="FN38" s="1" t="n"/>
      <c r="FO38" s="1" t="n"/>
      <c r="FP38" s="1" t="n"/>
      <c r="FQ38" s="1" t="n"/>
      <c r="FR38" s="1" t="n"/>
      <c r="FS38" s="1" t="n"/>
      <c r="FT38" s="1" t="n"/>
      <c r="FU38" s="1" t="n"/>
      <c r="FV38" s="1" t="n"/>
      <c r="FW38" s="1" t="n"/>
      <c r="FX38" s="1" t="n"/>
      <c r="FY38" s="1" t="n"/>
      <c r="FZ38" s="1" t="n"/>
      <c r="GA38" s="1" t="n"/>
      <c r="GB38" s="1" t="n"/>
      <c r="GC38" s="1" t="n"/>
      <c r="GD38" s="1" t="n"/>
      <c r="GE38" s="1" t="n"/>
      <c r="GF38" s="1" t="n"/>
      <c r="GG38" s="1" t="n"/>
      <c r="GH38" s="1" t="n"/>
      <c r="GI38" s="1" t="n"/>
      <c r="GJ38" s="1" t="n"/>
      <c r="GK38" s="1" t="n"/>
      <c r="GL38" s="1" t="n"/>
      <c r="GM38" s="1" t="n"/>
      <c r="GN38" s="1" t="n"/>
      <c r="GO38" s="1" t="n"/>
      <c r="GP38" s="1" t="n"/>
      <c r="GQ38" s="1" t="n"/>
      <c r="GR38" s="1" t="n"/>
      <c r="GS38" s="1" t="n"/>
      <c r="GT38" s="1" t="n"/>
      <c r="GU38" s="1" t="n"/>
      <c r="GV38" s="1" t="n"/>
      <c r="GW38" s="1" t="n"/>
      <c r="GX38" s="1" t="n"/>
      <c r="GY38" s="1" t="n"/>
      <c r="GZ38" s="1" t="n"/>
      <c r="HA38" s="1" t="n"/>
      <c r="HB38" s="1" t="n"/>
      <c r="HC38" s="1" t="n"/>
      <c r="HD38" s="1" t="n"/>
      <c r="HE38" s="1" t="n"/>
      <c r="HF38" s="1" t="n"/>
      <c r="HG38" s="1" t="n"/>
      <c r="HH38" s="1" t="n"/>
      <c r="HI38" s="1" t="n"/>
      <c r="HJ38" s="1" t="n"/>
      <c r="HK38" s="1" t="n"/>
      <c r="HL38" s="1" t="n"/>
      <c r="HM38" s="1" t="n"/>
      <c r="HN38" s="1" t="n"/>
      <c r="HO38" s="1" t="n"/>
      <c r="HP38" s="1" t="n"/>
      <c r="HQ38" s="1" t="n"/>
      <c r="HR38" s="1" t="n"/>
      <c r="HS38" s="1" t="n"/>
      <c r="HT38" s="1" t="n"/>
      <c r="HU38" s="1" t="n"/>
      <c r="HV38" s="1" t="n"/>
      <c r="HW38" s="1" t="n"/>
      <c r="HX38" s="1" t="n"/>
      <c r="HY38" s="1" t="n"/>
      <c r="HZ38" s="1" t="n"/>
      <c r="IA38" s="1" t="n"/>
      <c r="IB38" s="1" t="n"/>
      <c r="IC38" s="1" t="n"/>
      <c r="ID38" s="1" t="n"/>
      <c r="IE38" s="1" t="n"/>
      <c r="IF38" s="1" t="n"/>
      <c r="IG38" s="1" t="n"/>
      <c r="IH38" s="1" t="n"/>
      <c r="II38" s="1" t="n"/>
      <c r="IJ38" s="1" t="n"/>
      <c r="IK38" s="1" t="n"/>
      <c r="IL38" s="1" t="n"/>
      <c r="IM38" s="1" t="n"/>
      <c r="IN38" s="1" t="n"/>
      <c r="IO38" s="1" t="n"/>
      <c r="IP38" s="1" t="n"/>
      <c r="IQ38" s="1" t="n"/>
      <c r="IR38" s="1" t="n"/>
      <c r="IS38" s="1" t="n"/>
      <c r="IT38" s="1" t="n"/>
      <c r="IU38" s="1" t="n"/>
      <c r="IV38" s="1" t="n"/>
    </row>
    <row r="39" ht="15.5" customHeight="1">
      <c r="A39" s="1" t="n"/>
      <c r="B39" s="1" t="n"/>
      <c r="C39" s="1" t="n"/>
      <c r="D39" s="1" t="n"/>
      <c r="E39" s="39" t="n"/>
      <c r="F39" s="39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  <c r="AW39" s="1" t="n"/>
      <c r="AX39" s="1" t="n"/>
      <c r="AY39" s="1" t="n"/>
      <c r="AZ39" s="1" t="n"/>
      <c r="BA39" s="1" t="n"/>
      <c r="BB39" s="1" t="n"/>
      <c r="BC39" s="1" t="n"/>
      <c r="BD39" s="1" t="n"/>
      <c r="BE39" s="1" t="n"/>
      <c r="BF39" s="1" t="n"/>
      <c r="BG39" s="1" t="n"/>
      <c r="BH39" s="1" t="n"/>
      <c r="BI39" s="1" t="n"/>
      <c r="BJ39" s="1" t="n"/>
      <c r="BK39" s="1" t="n"/>
      <c r="BL39" s="1" t="n"/>
      <c r="BM39" s="1" t="n"/>
      <c r="BN39" s="1" t="n"/>
      <c r="BO39" s="1" t="n"/>
      <c r="BP39" s="1" t="n"/>
      <c r="BQ39" s="1" t="n"/>
      <c r="BR39" s="1" t="n"/>
      <c r="BS39" s="1" t="n"/>
      <c r="BT39" s="1" t="n"/>
      <c r="BU39" s="1" t="n"/>
      <c r="BV39" s="1" t="n"/>
      <c r="BW39" s="1" t="n"/>
      <c r="BX39" s="1" t="n"/>
      <c r="BY39" s="1" t="n"/>
      <c r="BZ39" s="1" t="n"/>
      <c r="CA39" s="1" t="n"/>
      <c r="CB39" s="1" t="n"/>
      <c r="CC39" s="1" t="n"/>
      <c r="CD39" s="1" t="n"/>
      <c r="CE39" s="1" t="n"/>
      <c r="CF39" s="1" t="n"/>
      <c r="CG39" s="1" t="n"/>
      <c r="CH39" s="1" t="n"/>
      <c r="CI39" s="1" t="n"/>
      <c r="CJ39" s="1" t="n"/>
      <c r="CK39" s="1" t="n"/>
      <c r="CL39" s="1" t="n"/>
      <c r="CM39" s="1" t="n"/>
      <c r="CN39" s="1" t="n"/>
      <c r="CO39" s="1" t="n"/>
      <c r="CP39" s="1" t="n"/>
      <c r="CQ39" s="1" t="n"/>
      <c r="CR39" s="1" t="n"/>
      <c r="CS39" s="1" t="n"/>
      <c r="CT39" s="1" t="n"/>
      <c r="CU39" s="1" t="n"/>
      <c r="CV39" s="1" t="n"/>
      <c r="CW39" s="1" t="n"/>
      <c r="CX39" s="1" t="n"/>
      <c r="CY39" s="1" t="n"/>
      <c r="CZ39" s="1" t="n"/>
      <c r="DA39" s="1" t="n"/>
      <c r="DB39" s="1" t="n"/>
      <c r="DC39" s="1" t="n"/>
      <c r="DD39" s="1" t="n"/>
      <c r="DE39" s="1" t="n"/>
      <c r="DF39" s="1" t="n"/>
      <c r="DG39" s="1" t="n"/>
      <c r="DH39" s="1" t="n"/>
      <c r="DI39" s="1" t="n"/>
      <c r="DJ39" s="1" t="n"/>
      <c r="DK39" s="1" t="n"/>
      <c r="DL39" s="1" t="n"/>
      <c r="DM39" s="1" t="n"/>
      <c r="DN39" s="1" t="n"/>
      <c r="DO39" s="1" t="n"/>
      <c r="DP39" s="1" t="n"/>
      <c r="DQ39" s="1" t="n"/>
      <c r="DR39" s="1" t="n"/>
      <c r="DS39" s="1" t="n"/>
      <c r="DT39" s="1" t="n"/>
      <c r="DU39" s="1" t="n"/>
      <c r="DV39" s="1" t="n"/>
      <c r="DW39" s="1" t="n"/>
      <c r="DX39" s="1" t="n"/>
      <c r="DY39" s="1" t="n"/>
      <c r="DZ39" s="1" t="n"/>
      <c r="EA39" s="1" t="n"/>
      <c r="EB39" s="1" t="n"/>
      <c r="EC39" s="1" t="n"/>
      <c r="ED39" s="1" t="n"/>
      <c r="EE39" s="1" t="n"/>
      <c r="EF39" s="1" t="n"/>
      <c r="EG39" s="1" t="n"/>
      <c r="EH39" s="1" t="n"/>
      <c r="EI39" s="1" t="n"/>
      <c r="EJ39" s="1" t="n"/>
      <c r="EK39" s="1" t="n"/>
      <c r="EL39" s="1" t="n"/>
      <c r="EM39" s="1" t="n"/>
      <c r="EN39" s="1" t="n"/>
      <c r="EO39" s="1" t="n"/>
      <c r="EP39" s="1" t="n"/>
      <c r="EQ39" s="1" t="n"/>
      <c r="ER39" s="1" t="n"/>
      <c r="ES39" s="1" t="n"/>
      <c r="ET39" s="1" t="n"/>
      <c r="EU39" s="1" t="n"/>
      <c r="EV39" s="1" t="n"/>
      <c r="EW39" s="1" t="n"/>
      <c r="EX39" s="1" t="n"/>
      <c r="EY39" s="1" t="n"/>
      <c r="EZ39" s="1" t="n"/>
      <c r="FA39" s="1" t="n"/>
      <c r="FB39" s="1" t="n"/>
      <c r="FC39" s="1" t="n"/>
      <c r="FD39" s="1" t="n"/>
      <c r="FE39" s="1" t="n"/>
      <c r="FF39" s="1" t="n"/>
      <c r="FG39" s="1" t="n"/>
      <c r="FH39" s="1" t="n"/>
      <c r="FI39" s="1" t="n"/>
      <c r="FJ39" s="1" t="n"/>
      <c r="FK39" s="1" t="n"/>
      <c r="FL39" s="1" t="n"/>
      <c r="FM39" s="1" t="n"/>
      <c r="FN39" s="1" t="n"/>
      <c r="FO39" s="1" t="n"/>
      <c r="FP39" s="1" t="n"/>
      <c r="FQ39" s="1" t="n"/>
      <c r="FR39" s="1" t="n"/>
      <c r="FS39" s="1" t="n"/>
      <c r="FT39" s="1" t="n"/>
      <c r="FU39" s="1" t="n"/>
      <c r="FV39" s="1" t="n"/>
      <c r="FW39" s="1" t="n"/>
      <c r="FX39" s="1" t="n"/>
      <c r="FY39" s="1" t="n"/>
      <c r="FZ39" s="1" t="n"/>
      <c r="GA39" s="1" t="n"/>
      <c r="GB39" s="1" t="n"/>
      <c r="GC39" s="1" t="n"/>
      <c r="GD39" s="1" t="n"/>
      <c r="GE39" s="1" t="n"/>
      <c r="GF39" s="1" t="n"/>
      <c r="GG39" s="1" t="n"/>
      <c r="GH39" s="1" t="n"/>
      <c r="GI39" s="1" t="n"/>
      <c r="GJ39" s="1" t="n"/>
      <c r="GK39" s="1" t="n"/>
      <c r="GL39" s="1" t="n"/>
      <c r="GM39" s="1" t="n"/>
      <c r="GN39" s="1" t="n"/>
      <c r="GO39" s="1" t="n"/>
      <c r="GP39" s="1" t="n"/>
      <c r="GQ39" s="1" t="n"/>
      <c r="GR39" s="1" t="n"/>
      <c r="GS39" s="1" t="n"/>
      <c r="GT39" s="1" t="n"/>
      <c r="GU39" s="1" t="n"/>
      <c r="GV39" s="1" t="n"/>
      <c r="GW39" s="1" t="n"/>
      <c r="GX39" s="1" t="n"/>
      <c r="GY39" s="1" t="n"/>
      <c r="GZ39" s="1" t="n"/>
      <c r="HA39" s="1" t="n"/>
      <c r="HB39" s="1" t="n"/>
      <c r="HC39" s="1" t="n"/>
      <c r="HD39" s="1" t="n"/>
      <c r="HE39" s="1" t="n"/>
      <c r="HF39" s="1" t="n"/>
      <c r="HG39" s="1" t="n"/>
      <c r="HH39" s="1" t="n"/>
      <c r="HI39" s="1" t="n"/>
      <c r="HJ39" s="1" t="n"/>
      <c r="HK39" s="1" t="n"/>
      <c r="HL39" s="1" t="n"/>
      <c r="HM39" s="1" t="n"/>
      <c r="HN39" s="1" t="n"/>
      <c r="HO39" s="1" t="n"/>
      <c r="HP39" s="1" t="n"/>
      <c r="HQ39" s="1" t="n"/>
      <c r="HR39" s="1" t="n"/>
      <c r="HS39" s="1" t="n"/>
      <c r="HT39" s="1" t="n"/>
      <c r="HU39" s="1" t="n"/>
      <c r="HV39" s="1" t="n"/>
      <c r="HW39" s="1" t="n"/>
      <c r="HX39" s="1" t="n"/>
      <c r="HY39" s="1" t="n"/>
      <c r="HZ39" s="1" t="n"/>
      <c r="IA39" s="1" t="n"/>
      <c r="IB39" s="1" t="n"/>
      <c r="IC39" s="1" t="n"/>
      <c r="ID39" s="1" t="n"/>
      <c r="IE39" s="1" t="n"/>
      <c r="IF39" s="1" t="n"/>
      <c r="IG39" s="1" t="n"/>
      <c r="IH39" s="1" t="n"/>
      <c r="II39" s="1" t="n"/>
      <c r="IJ39" s="1" t="n"/>
      <c r="IK39" s="1" t="n"/>
      <c r="IL39" s="1" t="n"/>
      <c r="IM39" s="1" t="n"/>
      <c r="IN39" s="1" t="n"/>
      <c r="IO39" s="1" t="n"/>
      <c r="IP39" s="1" t="n"/>
      <c r="IQ39" s="1" t="n"/>
      <c r="IR39" s="1" t="n"/>
      <c r="IS39" s="1" t="n"/>
      <c r="IT39" s="1" t="n"/>
      <c r="IU39" s="1" t="n"/>
      <c r="IV39" s="1" t="n"/>
    </row>
    <row r="40" ht="15.5" customHeight="1">
      <c r="A40" s="1" t="n"/>
      <c r="B40" s="1" t="n"/>
      <c r="C40" s="1" t="n"/>
      <c r="D40" s="68" t="n"/>
      <c r="E40" s="69" t="n"/>
      <c r="F40" s="69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1" t="n"/>
      <c r="AY40" s="1" t="n"/>
      <c r="AZ40" s="1" t="n"/>
      <c r="BA40" s="1" t="n"/>
      <c r="BB40" s="1" t="n"/>
      <c r="BC40" s="1" t="n"/>
      <c r="BD40" s="1" t="n"/>
      <c r="BE40" s="1" t="n"/>
      <c r="BF40" s="1" t="n"/>
      <c r="BG40" s="1" t="n"/>
      <c r="BH40" s="1" t="n"/>
      <c r="BI40" s="1" t="n"/>
      <c r="BJ40" s="1" t="n"/>
      <c r="BK40" s="1" t="n"/>
      <c r="BL40" s="1" t="n"/>
      <c r="BM40" s="1" t="n"/>
      <c r="BN40" s="1" t="n"/>
      <c r="BO40" s="1" t="n"/>
      <c r="BP40" s="1" t="n"/>
      <c r="BQ40" s="1" t="n"/>
      <c r="BR40" s="1" t="n"/>
      <c r="BS40" s="1" t="n"/>
      <c r="BT40" s="1" t="n"/>
      <c r="BU40" s="1" t="n"/>
      <c r="BV40" s="1" t="n"/>
      <c r="BW40" s="1" t="n"/>
      <c r="BX40" s="1" t="n"/>
      <c r="BY40" s="1" t="n"/>
      <c r="BZ40" s="1" t="n"/>
      <c r="CA40" s="1" t="n"/>
      <c r="CB40" s="1" t="n"/>
      <c r="CC40" s="1" t="n"/>
      <c r="CD40" s="1" t="n"/>
      <c r="CE40" s="1" t="n"/>
      <c r="CF40" s="1" t="n"/>
      <c r="CG40" s="1" t="n"/>
      <c r="CH40" s="1" t="n"/>
      <c r="CI40" s="1" t="n"/>
      <c r="CJ40" s="1" t="n"/>
      <c r="CK40" s="1" t="n"/>
      <c r="CL40" s="1" t="n"/>
      <c r="CM40" s="1" t="n"/>
      <c r="CN40" s="1" t="n"/>
      <c r="CO40" s="1" t="n"/>
      <c r="CP40" s="1" t="n"/>
      <c r="CQ40" s="1" t="n"/>
      <c r="CR40" s="1" t="n"/>
      <c r="CS40" s="1" t="n"/>
      <c r="CT40" s="1" t="n"/>
      <c r="CU40" s="1" t="n"/>
      <c r="CV40" s="1" t="n"/>
      <c r="CW40" s="1" t="n"/>
      <c r="CX40" s="1" t="n"/>
      <c r="CY40" s="1" t="n"/>
      <c r="CZ40" s="1" t="n"/>
      <c r="DA40" s="1" t="n"/>
      <c r="DB40" s="1" t="n"/>
      <c r="DC40" s="1" t="n"/>
      <c r="DD40" s="1" t="n"/>
      <c r="DE40" s="1" t="n"/>
      <c r="DF40" s="1" t="n"/>
      <c r="DG40" s="1" t="n"/>
      <c r="DH40" s="1" t="n"/>
      <c r="DI40" s="1" t="n"/>
      <c r="DJ40" s="1" t="n"/>
      <c r="DK40" s="1" t="n"/>
      <c r="DL40" s="1" t="n"/>
      <c r="DM40" s="1" t="n"/>
      <c r="DN40" s="1" t="n"/>
      <c r="DO40" s="1" t="n"/>
      <c r="DP40" s="1" t="n"/>
      <c r="DQ40" s="1" t="n"/>
      <c r="DR40" s="1" t="n"/>
      <c r="DS40" s="1" t="n"/>
      <c r="DT40" s="1" t="n"/>
      <c r="DU40" s="1" t="n"/>
      <c r="DV40" s="1" t="n"/>
      <c r="DW40" s="1" t="n"/>
      <c r="DX40" s="1" t="n"/>
      <c r="DY40" s="1" t="n"/>
      <c r="DZ40" s="1" t="n"/>
      <c r="EA40" s="1" t="n"/>
      <c r="EB40" s="1" t="n"/>
      <c r="EC40" s="1" t="n"/>
      <c r="ED40" s="1" t="n"/>
      <c r="EE40" s="1" t="n"/>
      <c r="EF40" s="1" t="n"/>
      <c r="EG40" s="1" t="n"/>
      <c r="EH40" s="1" t="n"/>
      <c r="EI40" s="1" t="n"/>
      <c r="EJ40" s="1" t="n"/>
      <c r="EK40" s="1" t="n"/>
      <c r="EL40" s="1" t="n"/>
      <c r="EM40" s="1" t="n"/>
      <c r="EN40" s="1" t="n"/>
      <c r="EO40" s="1" t="n"/>
      <c r="EP40" s="1" t="n"/>
      <c r="EQ40" s="1" t="n"/>
      <c r="ER40" s="1" t="n"/>
      <c r="ES40" s="1" t="n"/>
      <c r="ET40" s="1" t="n"/>
      <c r="EU40" s="1" t="n"/>
      <c r="EV40" s="1" t="n"/>
      <c r="EW40" s="1" t="n"/>
      <c r="EX40" s="1" t="n"/>
      <c r="EY40" s="1" t="n"/>
      <c r="EZ40" s="1" t="n"/>
      <c r="FA40" s="1" t="n"/>
      <c r="FB40" s="1" t="n"/>
      <c r="FC40" s="1" t="n"/>
      <c r="FD40" s="1" t="n"/>
      <c r="FE40" s="1" t="n"/>
      <c r="FF40" s="1" t="n"/>
      <c r="FG40" s="1" t="n"/>
      <c r="FH40" s="1" t="n"/>
      <c r="FI40" s="1" t="n"/>
      <c r="FJ40" s="1" t="n"/>
      <c r="FK40" s="1" t="n"/>
      <c r="FL40" s="1" t="n"/>
      <c r="FM40" s="1" t="n"/>
      <c r="FN40" s="1" t="n"/>
      <c r="FO40" s="1" t="n"/>
      <c r="FP40" s="1" t="n"/>
      <c r="FQ40" s="1" t="n"/>
      <c r="FR40" s="1" t="n"/>
      <c r="FS40" s="1" t="n"/>
      <c r="FT40" s="1" t="n"/>
      <c r="FU40" s="1" t="n"/>
      <c r="FV40" s="1" t="n"/>
      <c r="FW40" s="1" t="n"/>
      <c r="FX40" s="1" t="n"/>
      <c r="FY40" s="1" t="n"/>
      <c r="FZ40" s="1" t="n"/>
      <c r="GA40" s="1" t="n"/>
      <c r="GB40" s="1" t="n"/>
      <c r="GC40" s="1" t="n"/>
      <c r="GD40" s="1" t="n"/>
      <c r="GE40" s="1" t="n"/>
      <c r="GF40" s="1" t="n"/>
      <c r="GG40" s="1" t="n"/>
      <c r="GH40" s="1" t="n"/>
      <c r="GI40" s="1" t="n"/>
      <c r="GJ40" s="1" t="n"/>
      <c r="GK40" s="1" t="n"/>
      <c r="GL40" s="1" t="n"/>
      <c r="GM40" s="1" t="n"/>
      <c r="GN40" s="1" t="n"/>
      <c r="GO40" s="1" t="n"/>
      <c r="GP40" s="1" t="n"/>
      <c r="GQ40" s="1" t="n"/>
      <c r="GR40" s="1" t="n"/>
      <c r="GS40" s="1" t="n"/>
      <c r="GT40" s="1" t="n"/>
      <c r="GU40" s="1" t="n"/>
      <c r="GV40" s="1" t="n"/>
      <c r="GW40" s="1" t="n"/>
      <c r="GX40" s="1" t="n"/>
      <c r="GY40" s="1" t="n"/>
      <c r="GZ40" s="1" t="n"/>
      <c r="HA40" s="1" t="n"/>
      <c r="HB40" s="1" t="n"/>
      <c r="HC40" s="1" t="n"/>
      <c r="HD40" s="1" t="n"/>
      <c r="HE40" s="1" t="n"/>
      <c r="HF40" s="1" t="n"/>
      <c r="HG40" s="1" t="n"/>
      <c r="HH40" s="1" t="n"/>
      <c r="HI40" s="1" t="n"/>
      <c r="HJ40" s="1" t="n"/>
      <c r="HK40" s="1" t="n"/>
      <c r="HL40" s="1" t="n"/>
      <c r="HM40" s="1" t="n"/>
      <c r="HN40" s="1" t="n"/>
      <c r="HO40" s="1" t="n"/>
      <c r="HP40" s="1" t="n"/>
      <c r="HQ40" s="1" t="n"/>
      <c r="HR40" s="1" t="n"/>
      <c r="HS40" s="1" t="n"/>
      <c r="HT40" s="1" t="n"/>
      <c r="HU40" s="1" t="n"/>
      <c r="HV40" s="1" t="n"/>
      <c r="HW40" s="1" t="n"/>
      <c r="HX40" s="1" t="n"/>
      <c r="HY40" s="1" t="n"/>
      <c r="HZ40" s="1" t="n"/>
      <c r="IA40" s="1" t="n"/>
      <c r="IB40" s="1" t="n"/>
      <c r="IC40" s="1" t="n"/>
      <c r="ID40" s="1" t="n"/>
      <c r="IE40" s="1" t="n"/>
      <c r="IF40" s="1" t="n"/>
      <c r="IG40" s="1" t="n"/>
      <c r="IH40" s="1" t="n"/>
      <c r="II40" s="1" t="n"/>
      <c r="IJ40" s="1" t="n"/>
      <c r="IK40" s="1" t="n"/>
      <c r="IL40" s="1" t="n"/>
      <c r="IM40" s="1" t="n"/>
      <c r="IN40" s="1" t="n"/>
      <c r="IO40" s="1" t="n"/>
      <c r="IP40" s="1" t="n"/>
      <c r="IQ40" s="1" t="n"/>
      <c r="IR40" s="1" t="n"/>
      <c r="IS40" s="1" t="n"/>
      <c r="IT40" s="1" t="n"/>
      <c r="IU40" s="1" t="n"/>
      <c r="IV40" s="1" t="n"/>
    </row>
    <row r="41">
      <c r="A41" s="70" t="n"/>
      <c r="B41" s="71" t="n"/>
      <c r="C41" s="71" t="n"/>
      <c r="D41" s="176">
        <f>SUM(D13:D40)</f>
        <v/>
      </c>
      <c r="E41" s="1" t="inlineStr">
        <is>
          <t>PCS</t>
        </is>
      </c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  <c r="AW41" s="1" t="n"/>
      <c r="AX41" s="1" t="n"/>
      <c r="AY41" s="1" t="n"/>
      <c r="AZ41" s="1" t="n"/>
      <c r="BA41" s="1" t="n"/>
      <c r="BB41" s="1" t="n"/>
      <c r="BC41" s="1" t="n"/>
      <c r="BD41" s="1" t="n"/>
      <c r="BE41" s="1" t="n"/>
      <c r="BF41" s="1" t="n"/>
      <c r="BG41" s="1" t="n"/>
      <c r="BH41" s="1" t="n"/>
      <c r="BI41" s="1" t="n"/>
      <c r="BJ41" s="1" t="n"/>
      <c r="BK41" s="1" t="n"/>
      <c r="BL41" s="1" t="n"/>
      <c r="BM41" s="1" t="n"/>
      <c r="BN41" s="1" t="n"/>
      <c r="BO41" s="1" t="n"/>
      <c r="BP41" s="1" t="n"/>
      <c r="BQ41" s="1" t="n"/>
      <c r="BR41" s="1" t="n"/>
      <c r="BS41" s="1" t="n"/>
      <c r="BT41" s="1" t="n"/>
      <c r="BU41" s="1" t="n"/>
      <c r="BV41" s="1" t="n"/>
      <c r="BW41" s="1" t="n"/>
      <c r="BX41" s="1" t="n"/>
      <c r="BY41" s="1" t="n"/>
      <c r="BZ41" s="1" t="n"/>
      <c r="CA41" s="1" t="n"/>
      <c r="CB41" s="1" t="n"/>
      <c r="CC41" s="1" t="n"/>
      <c r="CD41" s="1" t="n"/>
      <c r="CE41" s="1" t="n"/>
      <c r="CF41" s="1" t="n"/>
      <c r="CG41" s="1" t="n"/>
      <c r="CH41" s="1" t="n"/>
      <c r="CI41" s="1" t="n"/>
      <c r="CJ41" s="1" t="n"/>
      <c r="CK41" s="1" t="n"/>
      <c r="CL41" s="1" t="n"/>
      <c r="CM41" s="1" t="n"/>
      <c r="CN41" s="1" t="n"/>
      <c r="CO41" s="1" t="n"/>
      <c r="CP41" s="1" t="n"/>
      <c r="CQ41" s="1" t="n"/>
      <c r="CR41" s="1" t="n"/>
      <c r="CS41" s="1" t="n"/>
      <c r="CT41" s="1" t="n"/>
      <c r="CU41" s="1" t="n"/>
      <c r="CV41" s="1" t="n"/>
      <c r="CW41" s="1" t="n"/>
      <c r="CX41" s="1" t="n"/>
      <c r="CY41" s="1" t="n"/>
      <c r="CZ41" s="1" t="n"/>
      <c r="DA41" s="1" t="n"/>
      <c r="DB41" s="1" t="n"/>
      <c r="DC41" s="1" t="n"/>
      <c r="DD41" s="1" t="n"/>
      <c r="DE41" s="1" t="n"/>
      <c r="DF41" s="1" t="n"/>
      <c r="DG41" s="1" t="n"/>
      <c r="DH41" s="1" t="n"/>
      <c r="DI41" s="1" t="n"/>
      <c r="DJ41" s="1" t="n"/>
      <c r="DK41" s="1" t="n"/>
      <c r="DL41" s="1" t="n"/>
      <c r="DM41" s="1" t="n"/>
      <c r="DN41" s="1" t="n"/>
      <c r="DO41" s="1" t="n"/>
      <c r="DP41" s="1" t="n"/>
      <c r="DQ41" s="1" t="n"/>
      <c r="DR41" s="1" t="n"/>
      <c r="DS41" s="1" t="n"/>
      <c r="DT41" s="1" t="n"/>
      <c r="DU41" s="1" t="n"/>
      <c r="DV41" s="1" t="n"/>
      <c r="DW41" s="1" t="n"/>
      <c r="DX41" s="1" t="n"/>
      <c r="DY41" s="1" t="n"/>
      <c r="DZ41" s="1" t="n"/>
      <c r="EA41" s="1" t="n"/>
      <c r="EB41" s="1" t="n"/>
      <c r="EC41" s="1" t="n"/>
      <c r="ED41" s="1" t="n"/>
      <c r="EE41" s="1" t="n"/>
      <c r="EF41" s="1" t="n"/>
      <c r="EG41" s="1" t="n"/>
      <c r="EH41" s="1" t="n"/>
      <c r="EI41" s="1" t="n"/>
      <c r="EJ41" s="1" t="n"/>
      <c r="EK41" s="1" t="n"/>
      <c r="EL41" s="1" t="n"/>
      <c r="EM41" s="1" t="n"/>
      <c r="EN41" s="1" t="n"/>
      <c r="EO41" s="1" t="n"/>
      <c r="EP41" s="1" t="n"/>
      <c r="EQ41" s="1" t="n"/>
      <c r="ER41" s="1" t="n"/>
      <c r="ES41" s="1" t="n"/>
      <c r="ET41" s="1" t="n"/>
      <c r="EU41" s="1" t="n"/>
      <c r="EV41" s="1" t="n"/>
      <c r="EW41" s="1" t="n"/>
      <c r="EX41" s="1" t="n"/>
      <c r="EY41" s="1" t="n"/>
      <c r="EZ41" s="1" t="n"/>
      <c r="FA41" s="1" t="n"/>
      <c r="FB41" s="1" t="n"/>
      <c r="FC41" s="1" t="n"/>
      <c r="FD41" s="1" t="n"/>
      <c r="FE41" s="1" t="n"/>
      <c r="FF41" s="1" t="n"/>
      <c r="FG41" s="1" t="n"/>
      <c r="FH41" s="1" t="n"/>
      <c r="FI41" s="1" t="n"/>
      <c r="FJ41" s="1" t="n"/>
      <c r="FK41" s="1" t="n"/>
      <c r="FL41" s="1" t="n"/>
      <c r="FM41" s="1" t="n"/>
      <c r="FN41" s="1" t="n"/>
      <c r="FO41" s="1" t="n"/>
      <c r="FP41" s="1" t="n"/>
      <c r="FQ41" s="1" t="n"/>
      <c r="FR41" s="1" t="n"/>
      <c r="FS41" s="1" t="n"/>
      <c r="FT41" s="1" t="n"/>
      <c r="FU41" s="1" t="n"/>
      <c r="FV41" s="1" t="n"/>
      <c r="FW41" s="1" t="n"/>
      <c r="FX41" s="1" t="n"/>
      <c r="FY41" s="1" t="n"/>
      <c r="FZ41" s="1" t="n"/>
      <c r="GA41" s="1" t="n"/>
      <c r="GB41" s="1" t="n"/>
      <c r="GC41" s="1" t="n"/>
      <c r="GD41" s="1" t="n"/>
      <c r="GE41" s="1" t="n"/>
      <c r="GF41" s="1" t="n"/>
      <c r="GG41" s="1" t="n"/>
      <c r="GH41" s="1" t="n"/>
      <c r="GI41" s="1" t="n"/>
      <c r="GJ41" s="1" t="n"/>
      <c r="GK41" s="1" t="n"/>
      <c r="GL41" s="1" t="n"/>
      <c r="GM41" s="1" t="n"/>
      <c r="GN41" s="1" t="n"/>
      <c r="GO41" s="1" t="n"/>
      <c r="GP41" s="1" t="n"/>
      <c r="GQ41" s="1" t="n"/>
      <c r="GR41" s="1" t="n"/>
      <c r="GS41" s="1" t="n"/>
      <c r="GT41" s="1" t="n"/>
      <c r="GU41" s="1" t="n"/>
      <c r="GV41" s="1" t="n"/>
      <c r="GW41" s="1" t="n"/>
      <c r="GX41" s="1" t="n"/>
      <c r="GY41" s="1" t="n"/>
      <c r="GZ41" s="1" t="n"/>
      <c r="HA41" s="1" t="n"/>
      <c r="HB41" s="1" t="n"/>
      <c r="HC41" s="1" t="n"/>
      <c r="HD41" s="1" t="n"/>
      <c r="HE41" s="1" t="n"/>
      <c r="HF41" s="1" t="n"/>
      <c r="HG41" s="1" t="n"/>
      <c r="HH41" s="1" t="n"/>
      <c r="HI41" s="1" t="n"/>
      <c r="HJ41" s="1" t="n"/>
      <c r="HK41" s="1" t="n"/>
      <c r="HL41" s="1" t="n"/>
      <c r="HM41" s="1" t="n"/>
      <c r="HN41" s="1" t="n"/>
      <c r="HO41" s="1" t="n"/>
      <c r="HP41" s="1" t="n"/>
      <c r="HQ41" s="1" t="n"/>
      <c r="HR41" s="1" t="n"/>
      <c r="HS41" s="1" t="n"/>
      <c r="HT41" s="1" t="n"/>
      <c r="HU41" s="1" t="n"/>
      <c r="HV41" s="1" t="n"/>
      <c r="HW41" s="1" t="n"/>
      <c r="HX41" s="1" t="n"/>
      <c r="HY41" s="1" t="n"/>
      <c r="HZ41" s="1" t="n"/>
      <c r="IA41" s="1" t="n"/>
      <c r="IB41" s="1" t="n"/>
      <c r="IC41" s="1" t="n"/>
      <c r="ID41" s="1" t="n"/>
      <c r="IE41" s="1" t="n"/>
      <c r="IF41" s="1" t="n"/>
      <c r="IG41" s="1" t="n"/>
      <c r="IH41" s="1" t="n"/>
      <c r="II41" s="1" t="n"/>
      <c r="IJ41" s="1" t="n"/>
      <c r="IK41" s="1" t="n"/>
      <c r="IL41" s="1" t="n"/>
      <c r="IM41" s="1" t="n"/>
      <c r="IN41" s="1" t="n"/>
      <c r="IO41" s="1" t="n"/>
      <c r="IP41" s="1" t="n"/>
      <c r="IQ41" s="1" t="n"/>
      <c r="IR41" s="1" t="n"/>
      <c r="IS41" s="1" t="n"/>
      <c r="IT41" s="1" t="n"/>
      <c r="IU41" s="1" t="n"/>
      <c r="IV41" s="1" t="n"/>
    </row>
    <row r="42">
      <c r="A42" s="73" t="n"/>
      <c r="B42" s="1" t="n"/>
      <c r="C42" s="1" t="n"/>
      <c r="D42" s="1" t="n"/>
      <c r="E42" s="74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" t="n"/>
      <c r="AX42" s="1" t="n"/>
      <c r="AY42" s="1" t="n"/>
      <c r="AZ42" s="1" t="n"/>
      <c r="BA42" s="1" t="n"/>
      <c r="BB42" s="1" t="n"/>
      <c r="BC42" s="1" t="n"/>
      <c r="BD42" s="1" t="n"/>
      <c r="BE42" s="1" t="n"/>
      <c r="BF42" s="1" t="n"/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" t="n"/>
      <c r="BQ42" s="1" t="n"/>
      <c r="BR42" s="1" t="n"/>
      <c r="BS42" s="1" t="n"/>
      <c r="BT42" s="1" t="n"/>
      <c r="BU42" s="1" t="n"/>
      <c r="BV42" s="1" t="n"/>
      <c r="BW42" s="1" t="n"/>
      <c r="BX42" s="1" t="n"/>
      <c r="BY42" s="1" t="n"/>
      <c r="BZ42" s="1" t="n"/>
      <c r="CA42" s="1" t="n"/>
      <c r="CB42" s="1" t="n"/>
      <c r="CC42" s="1" t="n"/>
      <c r="CD42" s="1" t="n"/>
      <c r="CE42" s="1" t="n"/>
      <c r="CF42" s="1" t="n"/>
      <c r="CG42" s="1" t="n"/>
      <c r="CH42" s="1" t="n"/>
      <c r="CI42" s="1" t="n"/>
      <c r="CJ42" s="1" t="n"/>
      <c r="CK42" s="1" t="n"/>
      <c r="CL42" s="1" t="n"/>
      <c r="CM42" s="1" t="n"/>
      <c r="CN42" s="1" t="n"/>
      <c r="CO42" s="1" t="n"/>
      <c r="CP42" s="1" t="n"/>
      <c r="CQ42" s="1" t="n"/>
      <c r="CR42" s="1" t="n"/>
      <c r="CS42" s="1" t="n"/>
      <c r="CT42" s="1" t="n"/>
      <c r="CU42" s="1" t="n"/>
      <c r="CV42" s="1" t="n"/>
      <c r="CW42" s="1" t="n"/>
      <c r="CX42" s="1" t="n"/>
      <c r="CY42" s="1" t="n"/>
      <c r="CZ42" s="1" t="n"/>
      <c r="DA42" s="1" t="n"/>
      <c r="DB42" s="1" t="n"/>
      <c r="DC42" s="1" t="n"/>
      <c r="DD42" s="1" t="n"/>
      <c r="DE42" s="1" t="n"/>
      <c r="DF42" s="1" t="n"/>
      <c r="DG42" s="1" t="n"/>
      <c r="DH42" s="1" t="n"/>
      <c r="DI42" s="1" t="n"/>
      <c r="DJ42" s="1" t="n"/>
      <c r="DK42" s="1" t="n"/>
      <c r="DL42" s="1" t="n"/>
      <c r="DM42" s="1" t="n"/>
      <c r="DN42" s="1" t="n"/>
      <c r="DO42" s="1" t="n"/>
      <c r="DP42" s="1" t="n"/>
      <c r="DQ42" s="1" t="n"/>
      <c r="DR42" s="1" t="n"/>
      <c r="DS42" s="1" t="n"/>
      <c r="DT42" s="1" t="n"/>
      <c r="DU42" s="1" t="n"/>
      <c r="DV42" s="1" t="n"/>
      <c r="DW42" s="1" t="n"/>
      <c r="DX42" s="1" t="n"/>
      <c r="DY42" s="1" t="n"/>
      <c r="DZ42" s="1" t="n"/>
      <c r="EA42" s="1" t="n"/>
      <c r="EB42" s="1" t="n"/>
      <c r="EC42" s="1" t="n"/>
      <c r="ED42" s="1" t="n"/>
      <c r="EE42" s="1" t="n"/>
      <c r="EF42" s="1" t="n"/>
      <c r="EG42" s="1" t="n"/>
      <c r="EH42" s="1" t="n"/>
      <c r="EI42" s="1" t="n"/>
      <c r="EJ42" s="1" t="n"/>
      <c r="EK42" s="1" t="n"/>
      <c r="EL42" s="1" t="n"/>
      <c r="EM42" s="1" t="n"/>
      <c r="EN42" s="1" t="n"/>
      <c r="EO42" s="1" t="n"/>
      <c r="EP42" s="1" t="n"/>
      <c r="EQ42" s="1" t="n"/>
      <c r="ER42" s="1" t="n"/>
      <c r="ES42" s="1" t="n"/>
      <c r="ET42" s="1" t="n"/>
      <c r="EU42" s="1" t="n"/>
      <c r="EV42" s="1" t="n"/>
      <c r="EW42" s="1" t="n"/>
      <c r="EX42" s="1" t="n"/>
      <c r="EY42" s="1" t="n"/>
      <c r="EZ42" s="1" t="n"/>
      <c r="FA42" s="1" t="n"/>
      <c r="FB42" s="1" t="n"/>
      <c r="FC42" s="1" t="n"/>
      <c r="FD42" s="1" t="n"/>
      <c r="FE42" s="1" t="n"/>
      <c r="FF42" s="1" t="n"/>
      <c r="FG42" s="1" t="n"/>
      <c r="FH42" s="1" t="n"/>
      <c r="FI42" s="1" t="n"/>
      <c r="FJ42" s="1" t="n"/>
      <c r="FK42" s="1" t="n"/>
      <c r="FL42" s="1" t="n"/>
      <c r="FM42" s="1" t="n"/>
      <c r="FN42" s="1" t="n"/>
      <c r="FO42" s="1" t="n"/>
      <c r="FP42" s="1" t="n"/>
      <c r="FQ42" s="1" t="n"/>
      <c r="FR42" s="1" t="n"/>
      <c r="FS42" s="1" t="n"/>
      <c r="FT42" s="1" t="n"/>
      <c r="FU42" s="1" t="n"/>
      <c r="FV42" s="1" t="n"/>
      <c r="FW42" s="1" t="n"/>
      <c r="FX42" s="1" t="n"/>
      <c r="FY42" s="1" t="n"/>
      <c r="FZ42" s="1" t="n"/>
      <c r="GA42" s="1" t="n"/>
      <c r="GB42" s="1" t="n"/>
      <c r="GC42" s="1" t="n"/>
      <c r="GD42" s="1" t="n"/>
      <c r="GE42" s="1" t="n"/>
      <c r="GF42" s="1" t="n"/>
      <c r="GG42" s="1" t="n"/>
      <c r="GH42" s="1" t="n"/>
      <c r="GI42" s="1" t="n"/>
      <c r="GJ42" s="1" t="n"/>
      <c r="GK42" s="1" t="n"/>
      <c r="GL42" s="1" t="n"/>
      <c r="GM42" s="1" t="n"/>
      <c r="GN42" s="1" t="n"/>
      <c r="GO42" s="1" t="n"/>
      <c r="GP42" s="1" t="n"/>
      <c r="GQ42" s="1" t="n"/>
      <c r="GR42" s="1" t="n"/>
      <c r="GS42" s="1" t="n"/>
      <c r="GT42" s="1" t="n"/>
      <c r="GU42" s="1" t="n"/>
      <c r="GV42" s="1" t="n"/>
      <c r="GW42" s="1" t="n"/>
      <c r="GX42" s="1" t="n"/>
      <c r="GY42" s="1" t="n"/>
      <c r="GZ42" s="1" t="n"/>
      <c r="HA42" s="1" t="n"/>
      <c r="HB42" s="1" t="n"/>
      <c r="HC42" s="1" t="n"/>
      <c r="HD42" s="1" t="n"/>
      <c r="HE42" s="1" t="n"/>
      <c r="HF42" s="1" t="n"/>
      <c r="HG42" s="1" t="n"/>
      <c r="HH42" s="1" t="n"/>
      <c r="HI42" s="1" t="n"/>
      <c r="HJ42" s="1" t="n"/>
      <c r="HK42" s="1" t="n"/>
      <c r="HL42" s="1" t="n"/>
      <c r="HM42" s="1" t="n"/>
      <c r="HN42" s="1" t="n"/>
      <c r="HO42" s="1" t="n"/>
      <c r="HP42" s="1" t="n"/>
      <c r="HQ42" s="1" t="n"/>
      <c r="HR42" s="1" t="n"/>
      <c r="HS42" s="1" t="n"/>
      <c r="HT42" s="1" t="n"/>
      <c r="HU42" s="1" t="n"/>
      <c r="HV42" s="1" t="n"/>
      <c r="HW42" s="1" t="n"/>
      <c r="HX42" s="1" t="n"/>
      <c r="HY42" s="1" t="n"/>
      <c r="HZ42" s="1" t="n"/>
      <c r="IA42" s="1" t="n"/>
      <c r="IB42" s="1" t="n"/>
      <c r="IC42" s="1" t="n"/>
      <c r="ID42" s="1" t="n"/>
      <c r="IE42" s="1" t="n"/>
      <c r="IF42" s="1" t="n"/>
      <c r="IG42" s="1" t="n"/>
      <c r="IH42" s="1" t="n"/>
      <c r="II42" s="1" t="n"/>
      <c r="IJ42" s="1" t="n"/>
      <c r="IK42" s="1" t="n"/>
      <c r="IL42" s="1" t="n"/>
      <c r="IM42" s="1" t="n"/>
      <c r="IN42" s="1" t="n"/>
      <c r="IO42" s="1" t="n"/>
      <c r="IP42" s="1" t="n"/>
      <c r="IQ42" s="1" t="n"/>
      <c r="IR42" s="1" t="n"/>
      <c r="IS42" s="1" t="n"/>
      <c r="IT42" s="1" t="n"/>
      <c r="IU42" s="1" t="n"/>
      <c r="IV42" s="1" t="n"/>
    </row>
    <row r="43">
      <c r="A43" s="1" t="inlineStr">
        <is>
          <t>ISSUED BY:</t>
        </is>
      </c>
      <c r="B43" s="1" t="n"/>
      <c r="C43" s="1" t="n"/>
      <c r="D43" s="75" t="n"/>
      <c r="E43" s="76" t="inlineStr">
        <is>
          <t>SUB TOTAL :</t>
        </is>
      </c>
      <c r="F43" s="177">
        <f>SUM(F13:F42)</f>
        <v/>
      </c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" t="n"/>
      <c r="AY43" s="1" t="n"/>
      <c r="AZ43" s="1" t="n"/>
      <c r="BA43" s="1" t="n"/>
      <c r="BB43" s="1" t="n"/>
      <c r="BC43" s="1" t="n"/>
      <c r="BD43" s="1" t="n"/>
      <c r="BE43" s="1" t="n"/>
      <c r="BF43" s="1" t="n"/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" t="n"/>
      <c r="BQ43" s="1" t="n"/>
      <c r="BR43" s="1" t="n"/>
      <c r="BS43" s="1" t="n"/>
      <c r="BT43" s="1" t="n"/>
      <c r="BU43" s="1" t="n"/>
      <c r="BV43" s="1" t="n"/>
      <c r="BW43" s="1" t="n"/>
      <c r="BX43" s="1" t="n"/>
      <c r="BY43" s="1" t="n"/>
      <c r="BZ43" s="1" t="n"/>
      <c r="CA43" s="1" t="n"/>
      <c r="CB43" s="1" t="n"/>
      <c r="CC43" s="1" t="n"/>
      <c r="CD43" s="1" t="n"/>
      <c r="CE43" s="1" t="n"/>
      <c r="CF43" s="1" t="n"/>
      <c r="CG43" s="1" t="n"/>
      <c r="CH43" s="1" t="n"/>
      <c r="CI43" s="1" t="n"/>
      <c r="CJ43" s="1" t="n"/>
      <c r="CK43" s="1" t="n"/>
      <c r="CL43" s="1" t="n"/>
      <c r="CM43" s="1" t="n"/>
      <c r="CN43" s="1" t="n"/>
      <c r="CO43" s="1" t="n"/>
      <c r="CP43" s="1" t="n"/>
      <c r="CQ43" s="1" t="n"/>
      <c r="CR43" s="1" t="n"/>
      <c r="CS43" s="1" t="n"/>
      <c r="CT43" s="1" t="n"/>
      <c r="CU43" s="1" t="n"/>
      <c r="CV43" s="1" t="n"/>
      <c r="CW43" s="1" t="n"/>
      <c r="CX43" s="1" t="n"/>
      <c r="CY43" s="1" t="n"/>
      <c r="CZ43" s="1" t="n"/>
      <c r="DA43" s="1" t="n"/>
      <c r="DB43" s="1" t="n"/>
      <c r="DC43" s="1" t="n"/>
      <c r="DD43" s="1" t="n"/>
      <c r="DE43" s="1" t="n"/>
      <c r="DF43" s="1" t="n"/>
      <c r="DG43" s="1" t="n"/>
      <c r="DH43" s="1" t="n"/>
      <c r="DI43" s="1" t="n"/>
      <c r="DJ43" s="1" t="n"/>
      <c r="DK43" s="1" t="n"/>
      <c r="DL43" s="1" t="n"/>
      <c r="DM43" s="1" t="n"/>
      <c r="DN43" s="1" t="n"/>
      <c r="DO43" s="1" t="n"/>
      <c r="DP43" s="1" t="n"/>
      <c r="DQ43" s="1" t="n"/>
      <c r="DR43" s="1" t="n"/>
      <c r="DS43" s="1" t="n"/>
      <c r="DT43" s="1" t="n"/>
      <c r="DU43" s="1" t="n"/>
      <c r="DV43" s="1" t="n"/>
      <c r="DW43" s="1" t="n"/>
      <c r="DX43" s="1" t="n"/>
      <c r="DY43" s="1" t="n"/>
      <c r="DZ43" s="1" t="n"/>
      <c r="EA43" s="1" t="n"/>
      <c r="EB43" s="1" t="n"/>
      <c r="EC43" s="1" t="n"/>
      <c r="ED43" s="1" t="n"/>
      <c r="EE43" s="1" t="n"/>
      <c r="EF43" s="1" t="n"/>
      <c r="EG43" s="1" t="n"/>
      <c r="EH43" s="1" t="n"/>
      <c r="EI43" s="1" t="n"/>
      <c r="EJ43" s="1" t="n"/>
      <c r="EK43" s="1" t="n"/>
      <c r="EL43" s="1" t="n"/>
      <c r="EM43" s="1" t="n"/>
      <c r="EN43" s="1" t="n"/>
      <c r="EO43" s="1" t="n"/>
      <c r="EP43" s="1" t="n"/>
      <c r="EQ43" s="1" t="n"/>
      <c r="ER43" s="1" t="n"/>
      <c r="ES43" s="1" t="n"/>
      <c r="ET43" s="1" t="n"/>
      <c r="EU43" s="1" t="n"/>
      <c r="EV43" s="1" t="n"/>
      <c r="EW43" s="1" t="n"/>
      <c r="EX43" s="1" t="n"/>
      <c r="EY43" s="1" t="n"/>
      <c r="EZ43" s="1" t="n"/>
      <c r="FA43" s="1" t="n"/>
      <c r="FB43" s="1" t="n"/>
      <c r="FC43" s="1" t="n"/>
      <c r="FD43" s="1" t="n"/>
      <c r="FE43" s="1" t="n"/>
      <c r="FF43" s="1" t="n"/>
      <c r="FG43" s="1" t="n"/>
      <c r="FH43" s="1" t="n"/>
      <c r="FI43" s="1" t="n"/>
      <c r="FJ43" s="1" t="n"/>
      <c r="FK43" s="1" t="n"/>
      <c r="FL43" s="1" t="n"/>
      <c r="FM43" s="1" t="n"/>
      <c r="FN43" s="1" t="n"/>
      <c r="FO43" s="1" t="n"/>
      <c r="FP43" s="1" t="n"/>
      <c r="FQ43" s="1" t="n"/>
      <c r="FR43" s="1" t="n"/>
      <c r="FS43" s="1" t="n"/>
      <c r="FT43" s="1" t="n"/>
      <c r="FU43" s="1" t="n"/>
      <c r="FV43" s="1" t="n"/>
      <c r="FW43" s="1" t="n"/>
      <c r="FX43" s="1" t="n"/>
      <c r="FY43" s="1" t="n"/>
      <c r="FZ43" s="1" t="n"/>
      <c r="GA43" s="1" t="n"/>
      <c r="GB43" s="1" t="n"/>
      <c r="GC43" s="1" t="n"/>
      <c r="GD43" s="1" t="n"/>
      <c r="GE43" s="1" t="n"/>
      <c r="GF43" s="1" t="n"/>
      <c r="GG43" s="1" t="n"/>
      <c r="GH43" s="1" t="n"/>
      <c r="GI43" s="1" t="n"/>
      <c r="GJ43" s="1" t="n"/>
      <c r="GK43" s="1" t="n"/>
      <c r="GL43" s="1" t="n"/>
      <c r="GM43" s="1" t="n"/>
      <c r="GN43" s="1" t="n"/>
      <c r="GO43" s="1" t="n"/>
      <c r="GP43" s="1" t="n"/>
      <c r="GQ43" s="1" t="n"/>
      <c r="GR43" s="1" t="n"/>
      <c r="GS43" s="1" t="n"/>
      <c r="GT43" s="1" t="n"/>
      <c r="GU43" s="1" t="n"/>
      <c r="GV43" s="1" t="n"/>
      <c r="GW43" s="1" t="n"/>
      <c r="GX43" s="1" t="n"/>
      <c r="GY43" s="1" t="n"/>
      <c r="GZ43" s="1" t="n"/>
      <c r="HA43" s="1" t="n"/>
      <c r="HB43" s="1" t="n"/>
      <c r="HC43" s="1" t="n"/>
      <c r="HD43" s="1" t="n"/>
      <c r="HE43" s="1" t="n"/>
      <c r="HF43" s="1" t="n"/>
      <c r="HG43" s="1" t="n"/>
      <c r="HH43" s="1" t="n"/>
      <c r="HI43" s="1" t="n"/>
      <c r="HJ43" s="1" t="n"/>
      <c r="HK43" s="1" t="n"/>
      <c r="HL43" s="1" t="n"/>
      <c r="HM43" s="1" t="n"/>
      <c r="HN43" s="1" t="n"/>
      <c r="HO43" s="1" t="n"/>
      <c r="HP43" s="1" t="n"/>
      <c r="HQ43" s="1" t="n"/>
      <c r="HR43" s="1" t="n"/>
      <c r="HS43" s="1" t="n"/>
      <c r="HT43" s="1" t="n"/>
      <c r="HU43" s="1" t="n"/>
      <c r="HV43" s="1" t="n"/>
      <c r="HW43" s="1" t="n"/>
      <c r="HX43" s="1" t="n"/>
      <c r="HY43" s="1" t="n"/>
      <c r="HZ43" s="1" t="n"/>
      <c r="IA43" s="1" t="n"/>
      <c r="IB43" s="1" t="n"/>
      <c r="IC43" s="1" t="n"/>
      <c r="ID43" s="1" t="n"/>
      <c r="IE43" s="1" t="n"/>
      <c r="IF43" s="1" t="n"/>
      <c r="IG43" s="1" t="n"/>
      <c r="IH43" s="1" t="n"/>
      <c r="II43" s="1" t="n"/>
      <c r="IJ43" s="1" t="n"/>
      <c r="IK43" s="1" t="n"/>
      <c r="IL43" s="1" t="n"/>
      <c r="IM43" s="1" t="n"/>
      <c r="IN43" s="1" t="n"/>
      <c r="IO43" s="1" t="n"/>
      <c r="IP43" s="1" t="n"/>
      <c r="IQ43" s="1" t="n"/>
      <c r="IR43" s="1" t="n"/>
      <c r="IS43" s="1" t="n"/>
      <c r="IT43" s="1" t="n"/>
      <c r="IU43" s="1" t="n"/>
      <c r="IV43" s="1" t="n"/>
    </row>
    <row r="44" ht="15" customHeight="1">
      <c r="A44" s="1" t="n"/>
      <c r="B44" s="78" t="inlineStr">
        <is>
          <t>COMART CORPORATION</t>
        </is>
      </c>
      <c r="C44" s="1" t="n"/>
      <c r="D44" s="75" t="n"/>
      <c r="E44" s="76" t="inlineStr">
        <is>
          <t>FREIGHT :</t>
        </is>
      </c>
      <c r="F44" s="177" t="n">
        <v>0</v>
      </c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" t="n"/>
      <c r="AY44" s="1" t="n"/>
      <c r="AZ44" s="1" t="n"/>
      <c r="BA44" s="1" t="n"/>
      <c r="BB44" s="1" t="n"/>
      <c r="BC44" s="1" t="n"/>
      <c r="BD44" s="1" t="n"/>
      <c r="BE44" s="1" t="n"/>
      <c r="BF44" s="1" t="n"/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" t="n"/>
      <c r="BQ44" s="1" t="n"/>
      <c r="BR44" s="1" t="n"/>
      <c r="BS44" s="1" t="n"/>
      <c r="BT44" s="1" t="n"/>
      <c r="BU44" s="1" t="n"/>
      <c r="BV44" s="1" t="n"/>
      <c r="BW44" s="1" t="n"/>
      <c r="BX44" s="1" t="n"/>
      <c r="BY44" s="1" t="n"/>
      <c r="BZ44" s="1" t="n"/>
      <c r="CA44" s="1" t="n"/>
      <c r="CB44" s="1" t="n"/>
      <c r="CC44" s="1" t="n"/>
      <c r="CD44" s="1" t="n"/>
      <c r="CE44" s="1" t="n"/>
      <c r="CF44" s="1" t="n"/>
      <c r="CG44" s="1" t="n"/>
      <c r="CH44" s="1" t="n"/>
      <c r="CI44" s="1" t="n"/>
      <c r="CJ44" s="1" t="n"/>
      <c r="CK44" s="1" t="n"/>
      <c r="CL44" s="1" t="n"/>
      <c r="CM44" s="1" t="n"/>
      <c r="CN44" s="1" t="n"/>
      <c r="CO44" s="1" t="n"/>
      <c r="CP44" s="1" t="n"/>
      <c r="CQ44" s="1" t="n"/>
      <c r="CR44" s="1" t="n"/>
      <c r="CS44" s="1" t="n"/>
      <c r="CT44" s="1" t="n"/>
      <c r="CU44" s="1" t="n"/>
      <c r="CV44" s="1" t="n"/>
      <c r="CW44" s="1" t="n"/>
      <c r="CX44" s="1" t="n"/>
      <c r="CY44" s="1" t="n"/>
      <c r="CZ44" s="1" t="n"/>
      <c r="DA44" s="1" t="n"/>
      <c r="DB44" s="1" t="n"/>
      <c r="DC44" s="1" t="n"/>
      <c r="DD44" s="1" t="n"/>
      <c r="DE44" s="1" t="n"/>
      <c r="DF44" s="1" t="n"/>
      <c r="DG44" s="1" t="n"/>
      <c r="DH44" s="1" t="n"/>
      <c r="DI44" s="1" t="n"/>
      <c r="DJ44" s="1" t="n"/>
      <c r="DK44" s="1" t="n"/>
      <c r="DL44" s="1" t="n"/>
      <c r="DM44" s="1" t="n"/>
      <c r="DN44" s="1" t="n"/>
      <c r="DO44" s="1" t="n"/>
      <c r="DP44" s="1" t="n"/>
      <c r="DQ44" s="1" t="n"/>
      <c r="DR44" s="1" t="n"/>
      <c r="DS44" s="1" t="n"/>
      <c r="DT44" s="1" t="n"/>
      <c r="DU44" s="1" t="n"/>
      <c r="DV44" s="1" t="n"/>
      <c r="DW44" s="1" t="n"/>
      <c r="DX44" s="1" t="n"/>
      <c r="DY44" s="1" t="n"/>
      <c r="DZ44" s="1" t="n"/>
      <c r="EA44" s="1" t="n"/>
      <c r="EB44" s="1" t="n"/>
      <c r="EC44" s="1" t="n"/>
      <c r="ED44" s="1" t="n"/>
      <c r="EE44" s="1" t="n"/>
      <c r="EF44" s="1" t="n"/>
      <c r="EG44" s="1" t="n"/>
      <c r="EH44" s="1" t="n"/>
      <c r="EI44" s="1" t="n"/>
      <c r="EJ44" s="1" t="n"/>
      <c r="EK44" s="1" t="n"/>
      <c r="EL44" s="1" t="n"/>
      <c r="EM44" s="1" t="n"/>
      <c r="EN44" s="1" t="n"/>
      <c r="EO44" s="1" t="n"/>
      <c r="EP44" s="1" t="n"/>
      <c r="EQ44" s="1" t="n"/>
      <c r="ER44" s="1" t="n"/>
      <c r="ES44" s="1" t="n"/>
      <c r="ET44" s="1" t="n"/>
      <c r="EU44" s="1" t="n"/>
      <c r="EV44" s="1" t="n"/>
      <c r="EW44" s="1" t="n"/>
      <c r="EX44" s="1" t="n"/>
      <c r="EY44" s="1" t="n"/>
      <c r="EZ44" s="1" t="n"/>
      <c r="FA44" s="1" t="n"/>
      <c r="FB44" s="1" t="n"/>
      <c r="FC44" s="1" t="n"/>
      <c r="FD44" s="1" t="n"/>
      <c r="FE44" s="1" t="n"/>
      <c r="FF44" s="1" t="n"/>
      <c r="FG44" s="1" t="n"/>
      <c r="FH44" s="1" t="n"/>
      <c r="FI44" s="1" t="n"/>
      <c r="FJ44" s="1" t="n"/>
      <c r="FK44" s="1" t="n"/>
      <c r="FL44" s="1" t="n"/>
      <c r="FM44" s="1" t="n"/>
      <c r="FN44" s="1" t="n"/>
      <c r="FO44" s="1" t="n"/>
      <c r="FP44" s="1" t="n"/>
      <c r="FQ44" s="1" t="n"/>
      <c r="FR44" s="1" t="n"/>
      <c r="FS44" s="1" t="n"/>
      <c r="FT44" s="1" t="n"/>
      <c r="FU44" s="1" t="n"/>
      <c r="FV44" s="1" t="n"/>
      <c r="FW44" s="1" t="n"/>
      <c r="FX44" s="1" t="n"/>
      <c r="FY44" s="1" t="n"/>
      <c r="FZ44" s="1" t="n"/>
      <c r="GA44" s="1" t="n"/>
      <c r="GB44" s="1" t="n"/>
      <c r="GC44" s="1" t="n"/>
      <c r="GD44" s="1" t="n"/>
      <c r="GE44" s="1" t="n"/>
      <c r="GF44" s="1" t="n"/>
      <c r="GG44" s="1" t="n"/>
      <c r="GH44" s="1" t="n"/>
      <c r="GI44" s="1" t="n"/>
      <c r="GJ44" s="1" t="n"/>
      <c r="GK44" s="1" t="n"/>
      <c r="GL44" s="1" t="n"/>
      <c r="GM44" s="1" t="n"/>
      <c r="GN44" s="1" t="n"/>
      <c r="GO44" s="1" t="n"/>
      <c r="GP44" s="1" t="n"/>
      <c r="GQ44" s="1" t="n"/>
      <c r="GR44" s="1" t="n"/>
      <c r="GS44" s="1" t="n"/>
      <c r="GT44" s="1" t="n"/>
      <c r="GU44" s="1" t="n"/>
      <c r="GV44" s="1" t="n"/>
      <c r="GW44" s="1" t="n"/>
      <c r="GX44" s="1" t="n"/>
      <c r="GY44" s="1" t="n"/>
      <c r="GZ44" s="1" t="n"/>
      <c r="HA44" s="1" t="n"/>
      <c r="HB44" s="1" t="n"/>
      <c r="HC44" s="1" t="n"/>
      <c r="HD44" s="1" t="n"/>
      <c r="HE44" s="1" t="n"/>
      <c r="HF44" s="1" t="n"/>
      <c r="HG44" s="1" t="n"/>
      <c r="HH44" s="1" t="n"/>
      <c r="HI44" s="1" t="n"/>
      <c r="HJ44" s="1" t="n"/>
      <c r="HK44" s="1" t="n"/>
      <c r="HL44" s="1" t="n"/>
      <c r="HM44" s="1" t="n"/>
      <c r="HN44" s="1" t="n"/>
      <c r="HO44" s="1" t="n"/>
      <c r="HP44" s="1" t="n"/>
      <c r="HQ44" s="1" t="n"/>
      <c r="HR44" s="1" t="n"/>
      <c r="HS44" s="1" t="n"/>
      <c r="HT44" s="1" t="n"/>
      <c r="HU44" s="1" t="n"/>
      <c r="HV44" s="1" t="n"/>
      <c r="HW44" s="1" t="n"/>
      <c r="HX44" s="1" t="n"/>
      <c r="HY44" s="1" t="n"/>
      <c r="HZ44" s="1" t="n"/>
      <c r="IA44" s="1" t="n"/>
      <c r="IB44" s="1" t="n"/>
      <c r="IC44" s="1" t="n"/>
      <c r="ID44" s="1" t="n"/>
      <c r="IE44" s="1" t="n"/>
      <c r="IF44" s="1" t="n"/>
      <c r="IG44" s="1" t="n"/>
      <c r="IH44" s="1" t="n"/>
      <c r="II44" s="1" t="n"/>
      <c r="IJ44" s="1" t="n"/>
      <c r="IK44" s="1" t="n"/>
      <c r="IL44" s="1" t="n"/>
      <c r="IM44" s="1" t="n"/>
      <c r="IN44" s="1" t="n"/>
      <c r="IO44" s="1" t="n"/>
      <c r="IP44" s="1" t="n"/>
      <c r="IQ44" s="1" t="n"/>
      <c r="IR44" s="1" t="n"/>
      <c r="IS44" s="1" t="n"/>
      <c r="IT44" s="1" t="n"/>
      <c r="IU44" s="1" t="n"/>
      <c r="IV44" s="1" t="n"/>
    </row>
    <row r="45" ht="15" customHeight="1">
      <c r="A45" s="1" t="n"/>
      <c r="B45" s="78" t="inlineStr">
        <is>
          <t>Emily Hou</t>
        </is>
      </c>
      <c r="C45" s="1" t="n"/>
      <c r="D45" s="75" t="n"/>
      <c r="E45" s="76" t="inlineStr">
        <is>
          <t xml:space="preserve">DISCOUNT: </t>
        </is>
      </c>
      <c r="F45" s="177" t="n">
        <v>0</v>
      </c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" t="n"/>
      <c r="AY45" s="1" t="n"/>
      <c r="AZ45" s="1" t="n"/>
      <c r="BA45" s="1" t="n"/>
      <c r="BB45" s="1" t="n"/>
      <c r="BC45" s="1" t="n"/>
      <c r="BD45" s="1" t="n"/>
      <c r="BE45" s="1" t="n"/>
      <c r="BF45" s="1" t="n"/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" t="n"/>
      <c r="BQ45" s="1" t="n"/>
      <c r="BR45" s="1" t="n"/>
      <c r="BS45" s="1" t="n"/>
      <c r="BT45" s="1" t="n"/>
      <c r="BU45" s="1" t="n"/>
      <c r="BV45" s="1" t="n"/>
      <c r="BW45" s="1" t="n"/>
      <c r="BX45" s="1" t="n"/>
      <c r="BY45" s="1" t="n"/>
      <c r="BZ45" s="1" t="n"/>
      <c r="CA45" s="1" t="n"/>
      <c r="CB45" s="1" t="n"/>
      <c r="CC45" s="1" t="n"/>
      <c r="CD45" s="1" t="n"/>
      <c r="CE45" s="1" t="n"/>
      <c r="CF45" s="1" t="n"/>
      <c r="CG45" s="1" t="n"/>
      <c r="CH45" s="1" t="n"/>
      <c r="CI45" s="1" t="n"/>
      <c r="CJ45" s="1" t="n"/>
      <c r="CK45" s="1" t="n"/>
      <c r="CL45" s="1" t="n"/>
      <c r="CM45" s="1" t="n"/>
      <c r="CN45" s="1" t="n"/>
      <c r="CO45" s="1" t="n"/>
      <c r="CP45" s="1" t="n"/>
      <c r="CQ45" s="1" t="n"/>
      <c r="CR45" s="1" t="n"/>
      <c r="CS45" s="1" t="n"/>
      <c r="CT45" s="1" t="n"/>
      <c r="CU45" s="1" t="n"/>
      <c r="CV45" s="1" t="n"/>
      <c r="CW45" s="1" t="n"/>
      <c r="CX45" s="1" t="n"/>
      <c r="CY45" s="1" t="n"/>
      <c r="CZ45" s="1" t="n"/>
      <c r="DA45" s="1" t="n"/>
      <c r="DB45" s="1" t="n"/>
      <c r="DC45" s="1" t="n"/>
      <c r="DD45" s="1" t="n"/>
      <c r="DE45" s="1" t="n"/>
      <c r="DF45" s="1" t="n"/>
      <c r="DG45" s="1" t="n"/>
      <c r="DH45" s="1" t="n"/>
      <c r="DI45" s="1" t="n"/>
      <c r="DJ45" s="1" t="n"/>
      <c r="DK45" s="1" t="n"/>
      <c r="DL45" s="1" t="n"/>
      <c r="DM45" s="1" t="n"/>
      <c r="DN45" s="1" t="n"/>
      <c r="DO45" s="1" t="n"/>
      <c r="DP45" s="1" t="n"/>
      <c r="DQ45" s="1" t="n"/>
      <c r="DR45" s="1" t="n"/>
      <c r="DS45" s="1" t="n"/>
      <c r="DT45" s="1" t="n"/>
      <c r="DU45" s="1" t="n"/>
      <c r="DV45" s="1" t="n"/>
      <c r="DW45" s="1" t="n"/>
      <c r="DX45" s="1" t="n"/>
      <c r="DY45" s="1" t="n"/>
      <c r="DZ45" s="1" t="n"/>
      <c r="EA45" s="1" t="n"/>
      <c r="EB45" s="1" t="n"/>
      <c r="EC45" s="1" t="n"/>
      <c r="ED45" s="1" t="n"/>
      <c r="EE45" s="1" t="n"/>
      <c r="EF45" s="1" t="n"/>
      <c r="EG45" s="1" t="n"/>
      <c r="EH45" s="1" t="n"/>
      <c r="EI45" s="1" t="n"/>
      <c r="EJ45" s="1" t="n"/>
      <c r="EK45" s="1" t="n"/>
      <c r="EL45" s="1" t="n"/>
      <c r="EM45" s="1" t="n"/>
      <c r="EN45" s="1" t="n"/>
      <c r="EO45" s="1" t="n"/>
      <c r="EP45" s="1" t="n"/>
      <c r="EQ45" s="1" t="n"/>
      <c r="ER45" s="1" t="n"/>
      <c r="ES45" s="1" t="n"/>
      <c r="ET45" s="1" t="n"/>
      <c r="EU45" s="1" t="n"/>
      <c r="EV45" s="1" t="n"/>
      <c r="EW45" s="1" t="n"/>
      <c r="EX45" s="1" t="n"/>
      <c r="EY45" s="1" t="n"/>
      <c r="EZ45" s="1" t="n"/>
      <c r="FA45" s="1" t="n"/>
      <c r="FB45" s="1" t="n"/>
      <c r="FC45" s="1" t="n"/>
      <c r="FD45" s="1" t="n"/>
      <c r="FE45" s="1" t="n"/>
      <c r="FF45" s="1" t="n"/>
      <c r="FG45" s="1" t="n"/>
      <c r="FH45" s="1" t="n"/>
      <c r="FI45" s="1" t="n"/>
      <c r="FJ45" s="1" t="n"/>
      <c r="FK45" s="1" t="n"/>
      <c r="FL45" s="1" t="n"/>
      <c r="FM45" s="1" t="n"/>
      <c r="FN45" s="1" t="n"/>
      <c r="FO45" s="1" t="n"/>
      <c r="FP45" s="1" t="n"/>
      <c r="FQ45" s="1" t="n"/>
      <c r="FR45" s="1" t="n"/>
      <c r="FS45" s="1" t="n"/>
      <c r="FT45" s="1" t="n"/>
      <c r="FU45" s="1" t="n"/>
      <c r="FV45" s="1" t="n"/>
      <c r="FW45" s="1" t="n"/>
      <c r="FX45" s="1" t="n"/>
      <c r="FY45" s="1" t="n"/>
      <c r="FZ45" s="1" t="n"/>
      <c r="GA45" s="1" t="n"/>
      <c r="GB45" s="1" t="n"/>
      <c r="GC45" s="1" t="n"/>
      <c r="GD45" s="1" t="n"/>
      <c r="GE45" s="1" t="n"/>
      <c r="GF45" s="1" t="n"/>
      <c r="GG45" s="1" t="n"/>
      <c r="GH45" s="1" t="n"/>
      <c r="GI45" s="1" t="n"/>
      <c r="GJ45" s="1" t="n"/>
      <c r="GK45" s="1" t="n"/>
      <c r="GL45" s="1" t="n"/>
      <c r="GM45" s="1" t="n"/>
      <c r="GN45" s="1" t="n"/>
      <c r="GO45" s="1" t="n"/>
      <c r="GP45" s="1" t="n"/>
      <c r="GQ45" s="1" t="n"/>
      <c r="GR45" s="1" t="n"/>
      <c r="GS45" s="1" t="n"/>
      <c r="GT45" s="1" t="n"/>
      <c r="GU45" s="1" t="n"/>
      <c r="GV45" s="1" t="n"/>
      <c r="GW45" s="1" t="n"/>
      <c r="GX45" s="1" t="n"/>
      <c r="GY45" s="1" t="n"/>
      <c r="GZ45" s="1" t="n"/>
      <c r="HA45" s="1" t="n"/>
      <c r="HB45" s="1" t="n"/>
      <c r="HC45" s="1" t="n"/>
      <c r="HD45" s="1" t="n"/>
      <c r="HE45" s="1" t="n"/>
      <c r="HF45" s="1" t="n"/>
      <c r="HG45" s="1" t="n"/>
      <c r="HH45" s="1" t="n"/>
      <c r="HI45" s="1" t="n"/>
      <c r="HJ45" s="1" t="n"/>
      <c r="HK45" s="1" t="n"/>
      <c r="HL45" s="1" t="n"/>
      <c r="HM45" s="1" t="n"/>
      <c r="HN45" s="1" t="n"/>
      <c r="HO45" s="1" t="n"/>
      <c r="HP45" s="1" t="n"/>
      <c r="HQ45" s="1" t="n"/>
      <c r="HR45" s="1" t="n"/>
      <c r="HS45" s="1" t="n"/>
      <c r="HT45" s="1" t="n"/>
      <c r="HU45" s="1" t="n"/>
      <c r="HV45" s="1" t="n"/>
      <c r="HW45" s="1" t="n"/>
      <c r="HX45" s="1" t="n"/>
      <c r="HY45" s="1" t="n"/>
      <c r="HZ45" s="1" t="n"/>
      <c r="IA45" s="1" t="n"/>
      <c r="IB45" s="1" t="n"/>
      <c r="IC45" s="1" t="n"/>
      <c r="ID45" s="1" t="n"/>
      <c r="IE45" s="1" t="n"/>
      <c r="IF45" s="1" t="n"/>
      <c r="IG45" s="1" t="n"/>
      <c r="IH45" s="1" t="n"/>
      <c r="II45" s="1" t="n"/>
      <c r="IJ45" s="1" t="n"/>
      <c r="IK45" s="1" t="n"/>
      <c r="IL45" s="1" t="n"/>
      <c r="IM45" s="1" t="n"/>
      <c r="IN45" s="1" t="n"/>
      <c r="IO45" s="1" t="n"/>
      <c r="IP45" s="1" t="n"/>
      <c r="IQ45" s="1" t="n"/>
      <c r="IR45" s="1" t="n"/>
      <c r="IS45" s="1" t="n"/>
      <c r="IT45" s="1" t="n"/>
      <c r="IU45" s="1" t="n"/>
      <c r="IV45" s="1" t="n"/>
    </row>
    <row r="46">
      <c r="A46" s="1" t="n"/>
      <c r="B46" s="1" t="n"/>
      <c r="C46" s="1" t="n"/>
      <c r="D46" s="79" t="n"/>
      <c r="E46" s="80" t="inlineStr">
        <is>
          <t xml:space="preserve">TOTAL: </t>
        </is>
      </c>
      <c r="F46" s="178">
        <f>SUM(F43:F45)</f>
        <v/>
      </c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  <c r="AX46" s="1" t="n"/>
      <c r="AY46" s="1" t="n"/>
      <c r="AZ46" s="1" t="n"/>
      <c r="BA46" s="1" t="n"/>
      <c r="BB46" s="1" t="n"/>
      <c r="BC46" s="1" t="n"/>
      <c r="BD46" s="1" t="n"/>
      <c r="BE46" s="1" t="n"/>
      <c r="BF46" s="1" t="n"/>
      <c r="BG46" s="1" t="n"/>
      <c r="BH46" s="1" t="n"/>
      <c r="BI46" s="1" t="n"/>
      <c r="BJ46" s="1" t="n"/>
      <c r="BK46" s="1" t="n"/>
      <c r="BL46" s="1" t="n"/>
      <c r="BM46" s="1" t="n"/>
      <c r="BN46" s="1" t="n"/>
      <c r="BO46" s="1" t="n"/>
      <c r="BP46" s="1" t="n"/>
      <c r="BQ46" s="1" t="n"/>
      <c r="BR46" s="1" t="n"/>
      <c r="BS46" s="1" t="n"/>
      <c r="BT46" s="1" t="n"/>
      <c r="BU46" s="1" t="n"/>
      <c r="BV46" s="1" t="n"/>
      <c r="BW46" s="1" t="n"/>
      <c r="BX46" s="1" t="n"/>
      <c r="BY46" s="1" t="n"/>
      <c r="BZ46" s="1" t="n"/>
      <c r="CA46" s="1" t="n"/>
      <c r="CB46" s="1" t="n"/>
      <c r="CC46" s="1" t="n"/>
      <c r="CD46" s="1" t="n"/>
      <c r="CE46" s="1" t="n"/>
      <c r="CF46" s="1" t="n"/>
      <c r="CG46" s="1" t="n"/>
      <c r="CH46" s="1" t="n"/>
      <c r="CI46" s="1" t="n"/>
      <c r="CJ46" s="1" t="n"/>
      <c r="CK46" s="1" t="n"/>
      <c r="CL46" s="1" t="n"/>
      <c r="CM46" s="1" t="n"/>
      <c r="CN46" s="1" t="n"/>
      <c r="CO46" s="1" t="n"/>
      <c r="CP46" s="1" t="n"/>
      <c r="CQ46" s="1" t="n"/>
      <c r="CR46" s="1" t="n"/>
      <c r="CS46" s="1" t="n"/>
      <c r="CT46" s="1" t="n"/>
      <c r="CU46" s="1" t="n"/>
      <c r="CV46" s="1" t="n"/>
      <c r="CW46" s="1" t="n"/>
      <c r="CX46" s="1" t="n"/>
      <c r="CY46" s="1" t="n"/>
      <c r="CZ46" s="1" t="n"/>
      <c r="DA46" s="1" t="n"/>
      <c r="DB46" s="1" t="n"/>
      <c r="DC46" s="1" t="n"/>
      <c r="DD46" s="1" t="n"/>
      <c r="DE46" s="1" t="n"/>
      <c r="DF46" s="1" t="n"/>
      <c r="DG46" s="1" t="n"/>
      <c r="DH46" s="1" t="n"/>
      <c r="DI46" s="1" t="n"/>
      <c r="DJ46" s="1" t="n"/>
      <c r="DK46" s="1" t="n"/>
      <c r="DL46" s="1" t="n"/>
      <c r="DM46" s="1" t="n"/>
      <c r="DN46" s="1" t="n"/>
      <c r="DO46" s="1" t="n"/>
      <c r="DP46" s="1" t="n"/>
      <c r="DQ46" s="1" t="n"/>
      <c r="DR46" s="1" t="n"/>
      <c r="DS46" s="1" t="n"/>
      <c r="DT46" s="1" t="n"/>
      <c r="DU46" s="1" t="n"/>
      <c r="DV46" s="1" t="n"/>
      <c r="DW46" s="1" t="n"/>
      <c r="DX46" s="1" t="n"/>
      <c r="DY46" s="1" t="n"/>
      <c r="DZ46" s="1" t="n"/>
      <c r="EA46" s="1" t="n"/>
      <c r="EB46" s="1" t="n"/>
      <c r="EC46" s="1" t="n"/>
      <c r="ED46" s="1" t="n"/>
      <c r="EE46" s="1" t="n"/>
      <c r="EF46" s="1" t="n"/>
      <c r="EG46" s="1" t="n"/>
      <c r="EH46" s="1" t="n"/>
      <c r="EI46" s="1" t="n"/>
      <c r="EJ46" s="1" t="n"/>
      <c r="EK46" s="1" t="n"/>
      <c r="EL46" s="1" t="n"/>
      <c r="EM46" s="1" t="n"/>
      <c r="EN46" s="1" t="n"/>
      <c r="EO46" s="1" t="n"/>
      <c r="EP46" s="1" t="n"/>
      <c r="EQ46" s="1" t="n"/>
      <c r="ER46" s="1" t="n"/>
      <c r="ES46" s="1" t="n"/>
      <c r="ET46" s="1" t="n"/>
      <c r="EU46" s="1" t="n"/>
      <c r="EV46" s="1" t="n"/>
      <c r="EW46" s="1" t="n"/>
      <c r="EX46" s="1" t="n"/>
      <c r="EY46" s="1" t="n"/>
      <c r="EZ46" s="1" t="n"/>
      <c r="FA46" s="1" t="n"/>
      <c r="FB46" s="1" t="n"/>
      <c r="FC46" s="1" t="n"/>
      <c r="FD46" s="1" t="n"/>
      <c r="FE46" s="1" t="n"/>
      <c r="FF46" s="1" t="n"/>
      <c r="FG46" s="1" t="n"/>
      <c r="FH46" s="1" t="n"/>
      <c r="FI46" s="1" t="n"/>
      <c r="FJ46" s="1" t="n"/>
      <c r="FK46" s="1" t="n"/>
      <c r="FL46" s="1" t="n"/>
      <c r="FM46" s="1" t="n"/>
      <c r="FN46" s="1" t="n"/>
      <c r="FO46" s="1" t="n"/>
      <c r="FP46" s="1" t="n"/>
      <c r="FQ46" s="1" t="n"/>
      <c r="FR46" s="1" t="n"/>
      <c r="FS46" s="1" t="n"/>
      <c r="FT46" s="1" t="n"/>
      <c r="FU46" s="1" t="n"/>
      <c r="FV46" s="1" t="n"/>
      <c r="FW46" s="1" t="n"/>
      <c r="FX46" s="1" t="n"/>
      <c r="FY46" s="1" t="n"/>
      <c r="FZ46" s="1" t="n"/>
      <c r="GA46" s="1" t="n"/>
      <c r="GB46" s="1" t="n"/>
      <c r="GC46" s="1" t="n"/>
      <c r="GD46" s="1" t="n"/>
      <c r="GE46" s="1" t="n"/>
      <c r="GF46" s="1" t="n"/>
      <c r="GG46" s="1" t="n"/>
      <c r="GH46" s="1" t="n"/>
      <c r="GI46" s="1" t="n"/>
      <c r="GJ46" s="1" t="n"/>
      <c r="GK46" s="1" t="n"/>
      <c r="GL46" s="1" t="n"/>
      <c r="GM46" s="1" t="n"/>
      <c r="GN46" s="1" t="n"/>
      <c r="GO46" s="1" t="n"/>
      <c r="GP46" s="1" t="n"/>
      <c r="GQ46" s="1" t="n"/>
      <c r="GR46" s="1" t="n"/>
      <c r="GS46" s="1" t="n"/>
      <c r="GT46" s="1" t="n"/>
      <c r="GU46" s="1" t="n"/>
      <c r="GV46" s="1" t="n"/>
      <c r="GW46" s="1" t="n"/>
      <c r="GX46" s="1" t="n"/>
      <c r="GY46" s="1" t="n"/>
      <c r="GZ46" s="1" t="n"/>
      <c r="HA46" s="1" t="n"/>
      <c r="HB46" s="1" t="n"/>
      <c r="HC46" s="1" t="n"/>
      <c r="HD46" s="1" t="n"/>
      <c r="HE46" s="1" t="n"/>
      <c r="HF46" s="1" t="n"/>
      <c r="HG46" s="1" t="n"/>
      <c r="HH46" s="1" t="n"/>
      <c r="HI46" s="1" t="n"/>
      <c r="HJ46" s="1" t="n"/>
      <c r="HK46" s="1" t="n"/>
      <c r="HL46" s="1" t="n"/>
      <c r="HM46" s="1" t="n"/>
      <c r="HN46" s="1" t="n"/>
      <c r="HO46" s="1" t="n"/>
      <c r="HP46" s="1" t="n"/>
      <c r="HQ46" s="1" t="n"/>
      <c r="HR46" s="1" t="n"/>
      <c r="HS46" s="1" t="n"/>
      <c r="HT46" s="1" t="n"/>
      <c r="HU46" s="1" t="n"/>
      <c r="HV46" s="1" t="n"/>
      <c r="HW46" s="1" t="n"/>
      <c r="HX46" s="1" t="n"/>
      <c r="HY46" s="1" t="n"/>
      <c r="HZ46" s="1" t="n"/>
      <c r="IA46" s="1" t="n"/>
      <c r="IB46" s="1" t="n"/>
      <c r="IC46" s="1" t="n"/>
      <c r="ID46" s="1" t="n"/>
      <c r="IE46" s="1" t="n"/>
      <c r="IF46" s="1" t="n"/>
      <c r="IG46" s="1" t="n"/>
      <c r="IH46" s="1" t="n"/>
      <c r="II46" s="1" t="n"/>
      <c r="IJ46" s="1" t="n"/>
      <c r="IK46" s="1" t="n"/>
      <c r="IL46" s="1" t="n"/>
      <c r="IM46" s="1" t="n"/>
      <c r="IN46" s="1" t="n"/>
      <c r="IO46" s="1" t="n"/>
      <c r="IP46" s="1" t="n"/>
      <c r="IQ46" s="1" t="n"/>
      <c r="IR46" s="1" t="n"/>
      <c r="IS46" s="1" t="n"/>
      <c r="IT46" s="1" t="n"/>
      <c r="IU46" s="1" t="n"/>
      <c r="IV46" s="1" t="n"/>
    </row>
    <row r="47" ht="15.5" customHeight="1">
      <c r="A47" s="39" t="n"/>
      <c r="B47" s="39" t="n"/>
      <c r="C47" s="39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  <c r="AY47" s="1" t="n"/>
      <c r="AZ47" s="1" t="n"/>
      <c r="BA47" s="1" t="n"/>
      <c r="BB47" s="1" t="n"/>
      <c r="BC47" s="1" t="n"/>
      <c r="BD47" s="1" t="n"/>
      <c r="BE47" s="1" t="n"/>
      <c r="BF47" s="1" t="n"/>
      <c r="BG47" s="1" t="n"/>
      <c r="BH47" s="1" t="n"/>
      <c r="BI47" s="1" t="n"/>
      <c r="BJ47" s="1" t="n"/>
      <c r="BK47" s="1" t="n"/>
      <c r="BL47" s="1" t="n"/>
      <c r="BM47" s="1" t="n"/>
      <c r="BN47" s="1" t="n"/>
      <c r="BO47" s="1" t="n"/>
      <c r="BP47" s="1" t="n"/>
      <c r="BQ47" s="1" t="n"/>
      <c r="BR47" s="1" t="n"/>
      <c r="BS47" s="1" t="n"/>
      <c r="BT47" s="1" t="n"/>
      <c r="BU47" s="1" t="n"/>
      <c r="BV47" s="1" t="n"/>
      <c r="BW47" s="1" t="n"/>
      <c r="BX47" s="1" t="n"/>
      <c r="BY47" s="1" t="n"/>
      <c r="BZ47" s="1" t="n"/>
      <c r="CA47" s="1" t="n"/>
      <c r="CB47" s="1" t="n"/>
      <c r="CC47" s="1" t="n"/>
      <c r="CD47" s="1" t="n"/>
      <c r="CE47" s="1" t="n"/>
      <c r="CF47" s="1" t="n"/>
      <c r="CG47" s="1" t="n"/>
      <c r="CH47" s="1" t="n"/>
      <c r="CI47" s="1" t="n"/>
      <c r="CJ47" s="1" t="n"/>
      <c r="CK47" s="1" t="n"/>
      <c r="CL47" s="1" t="n"/>
      <c r="CM47" s="1" t="n"/>
      <c r="CN47" s="1" t="n"/>
      <c r="CO47" s="1" t="n"/>
      <c r="CP47" s="1" t="n"/>
      <c r="CQ47" s="1" t="n"/>
      <c r="CR47" s="1" t="n"/>
      <c r="CS47" s="1" t="n"/>
      <c r="CT47" s="1" t="n"/>
      <c r="CU47" s="1" t="n"/>
      <c r="CV47" s="1" t="n"/>
      <c r="CW47" s="1" t="n"/>
      <c r="CX47" s="1" t="n"/>
      <c r="CY47" s="1" t="n"/>
      <c r="CZ47" s="1" t="n"/>
      <c r="DA47" s="1" t="n"/>
      <c r="DB47" s="1" t="n"/>
      <c r="DC47" s="1" t="n"/>
      <c r="DD47" s="1" t="n"/>
      <c r="DE47" s="1" t="n"/>
      <c r="DF47" s="1" t="n"/>
      <c r="DG47" s="1" t="n"/>
      <c r="DH47" s="1" t="n"/>
      <c r="DI47" s="1" t="n"/>
      <c r="DJ47" s="1" t="n"/>
      <c r="DK47" s="1" t="n"/>
      <c r="DL47" s="1" t="n"/>
      <c r="DM47" s="1" t="n"/>
      <c r="DN47" s="1" t="n"/>
      <c r="DO47" s="1" t="n"/>
      <c r="DP47" s="1" t="n"/>
      <c r="DQ47" s="1" t="n"/>
      <c r="DR47" s="1" t="n"/>
      <c r="DS47" s="1" t="n"/>
      <c r="DT47" s="1" t="n"/>
      <c r="DU47" s="1" t="n"/>
      <c r="DV47" s="1" t="n"/>
      <c r="DW47" s="1" t="n"/>
      <c r="DX47" s="1" t="n"/>
      <c r="DY47" s="1" t="n"/>
      <c r="DZ47" s="1" t="n"/>
      <c r="EA47" s="1" t="n"/>
      <c r="EB47" s="1" t="n"/>
      <c r="EC47" s="1" t="n"/>
      <c r="ED47" s="1" t="n"/>
      <c r="EE47" s="1" t="n"/>
      <c r="EF47" s="1" t="n"/>
      <c r="EG47" s="1" t="n"/>
      <c r="EH47" s="1" t="n"/>
      <c r="EI47" s="1" t="n"/>
      <c r="EJ47" s="1" t="n"/>
      <c r="EK47" s="1" t="n"/>
      <c r="EL47" s="1" t="n"/>
      <c r="EM47" s="1" t="n"/>
      <c r="EN47" s="1" t="n"/>
      <c r="EO47" s="1" t="n"/>
      <c r="EP47" s="1" t="n"/>
      <c r="EQ47" s="1" t="n"/>
      <c r="ER47" s="1" t="n"/>
      <c r="ES47" s="1" t="n"/>
      <c r="ET47" s="1" t="n"/>
      <c r="EU47" s="1" t="n"/>
      <c r="EV47" s="1" t="n"/>
      <c r="EW47" s="1" t="n"/>
      <c r="EX47" s="1" t="n"/>
      <c r="EY47" s="1" t="n"/>
      <c r="EZ47" s="1" t="n"/>
      <c r="FA47" s="1" t="n"/>
      <c r="FB47" s="1" t="n"/>
      <c r="FC47" s="1" t="n"/>
      <c r="FD47" s="1" t="n"/>
      <c r="FE47" s="1" t="n"/>
      <c r="FF47" s="1" t="n"/>
      <c r="FG47" s="1" t="n"/>
      <c r="FH47" s="1" t="n"/>
      <c r="FI47" s="1" t="n"/>
      <c r="FJ47" s="1" t="n"/>
      <c r="FK47" s="1" t="n"/>
      <c r="FL47" s="1" t="n"/>
      <c r="FM47" s="1" t="n"/>
      <c r="FN47" s="1" t="n"/>
      <c r="FO47" s="1" t="n"/>
      <c r="FP47" s="1" t="n"/>
      <c r="FQ47" s="1" t="n"/>
      <c r="FR47" s="1" t="n"/>
      <c r="FS47" s="1" t="n"/>
      <c r="FT47" s="1" t="n"/>
      <c r="FU47" s="1" t="n"/>
      <c r="FV47" s="1" t="n"/>
      <c r="FW47" s="1" t="n"/>
      <c r="FX47" s="1" t="n"/>
      <c r="FY47" s="1" t="n"/>
      <c r="FZ47" s="1" t="n"/>
      <c r="GA47" s="1" t="n"/>
      <c r="GB47" s="1" t="n"/>
      <c r="GC47" s="1" t="n"/>
      <c r="GD47" s="1" t="n"/>
      <c r="GE47" s="1" t="n"/>
      <c r="GF47" s="1" t="n"/>
      <c r="GG47" s="1" t="n"/>
      <c r="GH47" s="1" t="n"/>
      <c r="GI47" s="1" t="n"/>
      <c r="GJ47" s="1" t="n"/>
      <c r="GK47" s="1" t="n"/>
      <c r="GL47" s="1" t="n"/>
      <c r="GM47" s="1" t="n"/>
      <c r="GN47" s="1" t="n"/>
      <c r="GO47" s="1" t="n"/>
      <c r="GP47" s="1" t="n"/>
      <c r="GQ47" s="1" t="n"/>
      <c r="GR47" s="1" t="n"/>
      <c r="GS47" s="1" t="n"/>
      <c r="GT47" s="1" t="n"/>
      <c r="GU47" s="1" t="n"/>
      <c r="GV47" s="1" t="n"/>
      <c r="GW47" s="1" t="n"/>
      <c r="GX47" s="1" t="n"/>
      <c r="GY47" s="1" t="n"/>
      <c r="GZ47" s="1" t="n"/>
      <c r="HA47" s="1" t="n"/>
      <c r="HB47" s="1" t="n"/>
      <c r="HC47" s="1" t="n"/>
      <c r="HD47" s="1" t="n"/>
      <c r="HE47" s="1" t="n"/>
      <c r="HF47" s="1" t="n"/>
      <c r="HG47" s="1" t="n"/>
      <c r="HH47" s="1" t="n"/>
      <c r="HI47" s="1" t="n"/>
      <c r="HJ47" s="1" t="n"/>
      <c r="HK47" s="1" t="n"/>
      <c r="HL47" s="1" t="n"/>
      <c r="HM47" s="1" t="n"/>
      <c r="HN47" s="1" t="n"/>
      <c r="HO47" s="1" t="n"/>
      <c r="HP47" s="1" t="n"/>
      <c r="HQ47" s="1" t="n"/>
      <c r="HR47" s="1" t="n"/>
      <c r="HS47" s="1" t="n"/>
      <c r="HT47" s="1" t="n"/>
      <c r="HU47" s="1" t="n"/>
      <c r="HV47" s="1" t="n"/>
      <c r="HW47" s="1" t="n"/>
      <c r="HX47" s="1" t="n"/>
      <c r="HY47" s="1" t="n"/>
      <c r="HZ47" s="1" t="n"/>
      <c r="IA47" s="1" t="n"/>
      <c r="IB47" s="1" t="n"/>
      <c r="IC47" s="1" t="n"/>
      <c r="ID47" s="1" t="n"/>
      <c r="IE47" s="1" t="n"/>
      <c r="IF47" s="1" t="n"/>
      <c r="IG47" s="1" t="n"/>
      <c r="IH47" s="1" t="n"/>
      <c r="II47" s="1" t="n"/>
      <c r="IJ47" s="1" t="n"/>
      <c r="IK47" s="1" t="n"/>
      <c r="IL47" s="1" t="n"/>
      <c r="IM47" s="1" t="n"/>
      <c r="IN47" s="1" t="n"/>
      <c r="IO47" s="1" t="n"/>
      <c r="IP47" s="1" t="n"/>
      <c r="IQ47" s="1" t="n"/>
      <c r="IR47" s="1" t="n"/>
      <c r="IS47" s="1" t="n"/>
      <c r="IT47" s="1" t="n"/>
      <c r="IU47" s="1" t="n"/>
      <c r="IV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  <c r="AY48" s="1" t="n"/>
      <c r="AZ48" s="1" t="n"/>
      <c r="BA48" s="1" t="n"/>
      <c r="BB48" s="1" t="n"/>
      <c r="BC48" s="1" t="n"/>
      <c r="BD48" s="1" t="n"/>
      <c r="BE48" s="1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n"/>
      <c r="BO48" s="1" t="n"/>
      <c r="BP48" s="1" t="n"/>
      <c r="BQ48" s="1" t="n"/>
      <c r="BR48" s="1" t="n"/>
      <c r="BS48" s="1" t="n"/>
      <c r="BT48" s="1" t="n"/>
      <c r="BU48" s="1" t="n"/>
      <c r="BV48" s="1" t="n"/>
      <c r="BW48" s="1" t="n"/>
      <c r="BX48" s="1" t="n"/>
      <c r="BY48" s="1" t="n"/>
      <c r="BZ48" s="1" t="n"/>
      <c r="CA48" s="1" t="n"/>
      <c r="CB48" s="1" t="n"/>
      <c r="CC48" s="1" t="n"/>
      <c r="CD48" s="1" t="n"/>
      <c r="CE48" s="1" t="n"/>
      <c r="CF48" s="1" t="n"/>
      <c r="CG48" s="1" t="n"/>
      <c r="CH48" s="1" t="n"/>
      <c r="CI48" s="1" t="n"/>
      <c r="CJ48" s="1" t="n"/>
      <c r="CK48" s="1" t="n"/>
      <c r="CL48" s="1" t="n"/>
      <c r="CM48" s="1" t="n"/>
      <c r="CN48" s="1" t="n"/>
      <c r="CO48" s="1" t="n"/>
      <c r="CP48" s="1" t="n"/>
      <c r="CQ48" s="1" t="n"/>
      <c r="CR48" s="1" t="n"/>
      <c r="CS48" s="1" t="n"/>
      <c r="CT48" s="1" t="n"/>
      <c r="CU48" s="1" t="n"/>
      <c r="CV48" s="1" t="n"/>
      <c r="CW48" s="1" t="n"/>
      <c r="CX48" s="1" t="n"/>
      <c r="CY48" s="1" t="n"/>
      <c r="CZ48" s="1" t="n"/>
      <c r="DA48" s="1" t="n"/>
      <c r="DB48" s="1" t="n"/>
      <c r="DC48" s="1" t="n"/>
      <c r="DD48" s="1" t="n"/>
      <c r="DE48" s="1" t="n"/>
      <c r="DF48" s="1" t="n"/>
      <c r="DG48" s="1" t="n"/>
      <c r="DH48" s="1" t="n"/>
      <c r="DI48" s="1" t="n"/>
      <c r="DJ48" s="1" t="n"/>
      <c r="DK48" s="1" t="n"/>
      <c r="DL48" s="1" t="n"/>
      <c r="DM48" s="1" t="n"/>
      <c r="DN48" s="1" t="n"/>
      <c r="DO48" s="1" t="n"/>
      <c r="DP48" s="1" t="n"/>
      <c r="DQ48" s="1" t="n"/>
      <c r="DR48" s="1" t="n"/>
      <c r="DS48" s="1" t="n"/>
      <c r="DT48" s="1" t="n"/>
      <c r="DU48" s="1" t="n"/>
      <c r="DV48" s="1" t="n"/>
      <c r="DW48" s="1" t="n"/>
      <c r="DX48" s="1" t="n"/>
      <c r="DY48" s="1" t="n"/>
      <c r="DZ48" s="1" t="n"/>
      <c r="EA48" s="1" t="n"/>
      <c r="EB48" s="1" t="n"/>
      <c r="EC48" s="1" t="n"/>
      <c r="ED48" s="1" t="n"/>
      <c r="EE48" s="1" t="n"/>
      <c r="EF48" s="1" t="n"/>
      <c r="EG48" s="1" t="n"/>
      <c r="EH48" s="1" t="n"/>
      <c r="EI48" s="1" t="n"/>
      <c r="EJ48" s="1" t="n"/>
      <c r="EK48" s="1" t="n"/>
      <c r="EL48" s="1" t="n"/>
      <c r="EM48" s="1" t="n"/>
      <c r="EN48" s="1" t="n"/>
      <c r="EO48" s="1" t="n"/>
      <c r="EP48" s="1" t="n"/>
      <c r="EQ48" s="1" t="n"/>
      <c r="ER48" s="1" t="n"/>
      <c r="ES48" s="1" t="n"/>
      <c r="ET48" s="1" t="n"/>
      <c r="EU48" s="1" t="n"/>
      <c r="EV48" s="1" t="n"/>
      <c r="EW48" s="1" t="n"/>
      <c r="EX48" s="1" t="n"/>
      <c r="EY48" s="1" t="n"/>
      <c r="EZ48" s="1" t="n"/>
      <c r="FA48" s="1" t="n"/>
      <c r="FB48" s="1" t="n"/>
      <c r="FC48" s="1" t="n"/>
      <c r="FD48" s="1" t="n"/>
      <c r="FE48" s="1" t="n"/>
      <c r="FF48" s="1" t="n"/>
      <c r="FG48" s="1" t="n"/>
      <c r="FH48" s="1" t="n"/>
      <c r="FI48" s="1" t="n"/>
      <c r="FJ48" s="1" t="n"/>
      <c r="FK48" s="1" t="n"/>
      <c r="FL48" s="1" t="n"/>
      <c r="FM48" s="1" t="n"/>
      <c r="FN48" s="1" t="n"/>
      <c r="FO48" s="1" t="n"/>
      <c r="FP48" s="1" t="n"/>
      <c r="FQ48" s="1" t="n"/>
      <c r="FR48" s="1" t="n"/>
      <c r="FS48" s="1" t="n"/>
      <c r="FT48" s="1" t="n"/>
      <c r="FU48" s="1" t="n"/>
      <c r="FV48" s="1" t="n"/>
      <c r="FW48" s="1" t="n"/>
      <c r="FX48" s="1" t="n"/>
      <c r="FY48" s="1" t="n"/>
      <c r="FZ48" s="1" t="n"/>
      <c r="GA48" s="1" t="n"/>
      <c r="GB48" s="1" t="n"/>
      <c r="GC48" s="1" t="n"/>
      <c r="GD48" s="1" t="n"/>
      <c r="GE48" s="1" t="n"/>
      <c r="GF48" s="1" t="n"/>
      <c r="GG48" s="1" t="n"/>
      <c r="GH48" s="1" t="n"/>
      <c r="GI48" s="1" t="n"/>
      <c r="GJ48" s="1" t="n"/>
      <c r="GK48" s="1" t="n"/>
      <c r="GL48" s="1" t="n"/>
      <c r="GM48" s="1" t="n"/>
      <c r="GN48" s="1" t="n"/>
      <c r="GO48" s="1" t="n"/>
      <c r="GP48" s="1" t="n"/>
      <c r="GQ48" s="1" t="n"/>
      <c r="GR48" s="1" t="n"/>
      <c r="GS48" s="1" t="n"/>
      <c r="GT48" s="1" t="n"/>
      <c r="GU48" s="1" t="n"/>
      <c r="GV48" s="1" t="n"/>
      <c r="GW48" s="1" t="n"/>
      <c r="GX48" s="1" t="n"/>
      <c r="GY48" s="1" t="n"/>
      <c r="GZ48" s="1" t="n"/>
      <c r="HA48" s="1" t="n"/>
      <c r="HB48" s="1" t="n"/>
      <c r="HC48" s="1" t="n"/>
      <c r="HD48" s="1" t="n"/>
      <c r="HE48" s="1" t="n"/>
      <c r="HF48" s="1" t="n"/>
      <c r="HG48" s="1" t="n"/>
      <c r="HH48" s="1" t="n"/>
      <c r="HI48" s="1" t="n"/>
      <c r="HJ48" s="1" t="n"/>
      <c r="HK48" s="1" t="n"/>
      <c r="HL48" s="1" t="n"/>
      <c r="HM48" s="1" t="n"/>
      <c r="HN48" s="1" t="n"/>
      <c r="HO48" s="1" t="n"/>
      <c r="HP48" s="1" t="n"/>
      <c r="HQ48" s="1" t="n"/>
      <c r="HR48" s="1" t="n"/>
      <c r="HS48" s="1" t="n"/>
      <c r="HT48" s="1" t="n"/>
      <c r="HU48" s="1" t="n"/>
      <c r="HV48" s="1" t="n"/>
      <c r="HW48" s="1" t="n"/>
      <c r="HX48" s="1" t="n"/>
      <c r="HY48" s="1" t="n"/>
      <c r="HZ48" s="1" t="n"/>
      <c r="IA48" s="1" t="n"/>
      <c r="IB48" s="1" t="n"/>
      <c r="IC48" s="1" t="n"/>
      <c r="ID48" s="1" t="n"/>
      <c r="IE48" s="1" t="n"/>
      <c r="IF48" s="1" t="n"/>
      <c r="IG48" s="1" t="n"/>
      <c r="IH48" s="1" t="n"/>
      <c r="II48" s="1" t="n"/>
      <c r="IJ48" s="1" t="n"/>
      <c r="IK48" s="1" t="n"/>
      <c r="IL48" s="1" t="n"/>
      <c r="IM48" s="1" t="n"/>
      <c r="IN48" s="1" t="n"/>
      <c r="IO48" s="1" t="n"/>
      <c r="IP48" s="1" t="n"/>
      <c r="IQ48" s="1" t="n"/>
      <c r="IR48" s="1" t="n"/>
      <c r="IS48" s="1" t="n"/>
      <c r="IT48" s="1" t="n"/>
      <c r="IU48" s="1" t="n"/>
      <c r="IV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  <c r="AX49" s="1" t="n"/>
      <c r="AY49" s="1" t="n"/>
      <c r="AZ49" s="1" t="n"/>
      <c r="BA49" s="1" t="n"/>
      <c r="BB49" s="1" t="n"/>
      <c r="BC49" s="1" t="n"/>
      <c r="BD49" s="1" t="n"/>
      <c r="BE49" s="1" t="n"/>
      <c r="BF49" s="1" t="n"/>
      <c r="BG49" s="1" t="n"/>
      <c r="BH49" s="1" t="n"/>
      <c r="BI49" s="1" t="n"/>
      <c r="BJ49" s="1" t="n"/>
      <c r="BK49" s="1" t="n"/>
      <c r="BL49" s="1" t="n"/>
      <c r="BM49" s="1" t="n"/>
      <c r="BN49" s="1" t="n"/>
      <c r="BO49" s="1" t="n"/>
      <c r="BP49" s="1" t="n"/>
      <c r="BQ49" s="1" t="n"/>
      <c r="BR49" s="1" t="n"/>
      <c r="BS49" s="1" t="n"/>
      <c r="BT49" s="1" t="n"/>
      <c r="BU49" s="1" t="n"/>
      <c r="BV49" s="1" t="n"/>
      <c r="BW49" s="1" t="n"/>
      <c r="BX49" s="1" t="n"/>
      <c r="BY49" s="1" t="n"/>
      <c r="BZ49" s="1" t="n"/>
      <c r="CA49" s="1" t="n"/>
      <c r="CB49" s="1" t="n"/>
      <c r="CC49" s="1" t="n"/>
      <c r="CD49" s="1" t="n"/>
      <c r="CE49" s="1" t="n"/>
      <c r="CF49" s="1" t="n"/>
      <c r="CG49" s="1" t="n"/>
      <c r="CH49" s="1" t="n"/>
      <c r="CI49" s="1" t="n"/>
      <c r="CJ49" s="1" t="n"/>
      <c r="CK49" s="1" t="n"/>
      <c r="CL49" s="1" t="n"/>
      <c r="CM49" s="1" t="n"/>
      <c r="CN49" s="1" t="n"/>
      <c r="CO49" s="1" t="n"/>
      <c r="CP49" s="1" t="n"/>
      <c r="CQ49" s="1" t="n"/>
      <c r="CR49" s="1" t="n"/>
      <c r="CS49" s="1" t="n"/>
      <c r="CT49" s="1" t="n"/>
      <c r="CU49" s="1" t="n"/>
      <c r="CV49" s="1" t="n"/>
      <c r="CW49" s="1" t="n"/>
      <c r="CX49" s="1" t="n"/>
      <c r="CY49" s="1" t="n"/>
      <c r="CZ49" s="1" t="n"/>
      <c r="DA49" s="1" t="n"/>
      <c r="DB49" s="1" t="n"/>
      <c r="DC49" s="1" t="n"/>
      <c r="DD49" s="1" t="n"/>
      <c r="DE49" s="1" t="n"/>
      <c r="DF49" s="1" t="n"/>
      <c r="DG49" s="1" t="n"/>
      <c r="DH49" s="1" t="n"/>
      <c r="DI49" s="1" t="n"/>
      <c r="DJ49" s="1" t="n"/>
      <c r="DK49" s="1" t="n"/>
      <c r="DL49" s="1" t="n"/>
      <c r="DM49" s="1" t="n"/>
      <c r="DN49" s="1" t="n"/>
      <c r="DO49" s="1" t="n"/>
      <c r="DP49" s="1" t="n"/>
      <c r="DQ49" s="1" t="n"/>
      <c r="DR49" s="1" t="n"/>
      <c r="DS49" s="1" t="n"/>
      <c r="DT49" s="1" t="n"/>
      <c r="DU49" s="1" t="n"/>
      <c r="DV49" s="1" t="n"/>
      <c r="DW49" s="1" t="n"/>
      <c r="DX49" s="1" t="n"/>
      <c r="DY49" s="1" t="n"/>
      <c r="DZ49" s="1" t="n"/>
      <c r="EA49" s="1" t="n"/>
      <c r="EB49" s="1" t="n"/>
      <c r="EC49" s="1" t="n"/>
      <c r="ED49" s="1" t="n"/>
      <c r="EE49" s="1" t="n"/>
      <c r="EF49" s="1" t="n"/>
      <c r="EG49" s="1" t="n"/>
      <c r="EH49" s="1" t="n"/>
      <c r="EI49" s="1" t="n"/>
      <c r="EJ49" s="1" t="n"/>
      <c r="EK49" s="1" t="n"/>
      <c r="EL49" s="1" t="n"/>
      <c r="EM49" s="1" t="n"/>
      <c r="EN49" s="1" t="n"/>
      <c r="EO49" s="1" t="n"/>
      <c r="EP49" s="1" t="n"/>
      <c r="EQ49" s="1" t="n"/>
      <c r="ER49" s="1" t="n"/>
      <c r="ES49" s="1" t="n"/>
      <c r="ET49" s="1" t="n"/>
      <c r="EU49" s="1" t="n"/>
      <c r="EV49" s="1" t="n"/>
      <c r="EW49" s="1" t="n"/>
      <c r="EX49" s="1" t="n"/>
      <c r="EY49" s="1" t="n"/>
      <c r="EZ49" s="1" t="n"/>
      <c r="FA49" s="1" t="n"/>
      <c r="FB49" s="1" t="n"/>
      <c r="FC49" s="1" t="n"/>
      <c r="FD49" s="1" t="n"/>
      <c r="FE49" s="1" t="n"/>
      <c r="FF49" s="1" t="n"/>
      <c r="FG49" s="1" t="n"/>
      <c r="FH49" s="1" t="n"/>
      <c r="FI49" s="1" t="n"/>
      <c r="FJ49" s="1" t="n"/>
      <c r="FK49" s="1" t="n"/>
      <c r="FL49" s="1" t="n"/>
      <c r="FM49" s="1" t="n"/>
      <c r="FN49" s="1" t="n"/>
      <c r="FO49" s="1" t="n"/>
      <c r="FP49" s="1" t="n"/>
      <c r="FQ49" s="1" t="n"/>
      <c r="FR49" s="1" t="n"/>
      <c r="FS49" s="1" t="n"/>
      <c r="FT49" s="1" t="n"/>
      <c r="FU49" s="1" t="n"/>
      <c r="FV49" s="1" t="n"/>
      <c r="FW49" s="1" t="n"/>
      <c r="FX49" s="1" t="n"/>
      <c r="FY49" s="1" t="n"/>
      <c r="FZ49" s="1" t="n"/>
      <c r="GA49" s="1" t="n"/>
      <c r="GB49" s="1" t="n"/>
      <c r="GC49" s="1" t="n"/>
      <c r="GD49" s="1" t="n"/>
      <c r="GE49" s="1" t="n"/>
      <c r="GF49" s="1" t="n"/>
      <c r="GG49" s="1" t="n"/>
      <c r="GH49" s="1" t="n"/>
      <c r="GI49" s="1" t="n"/>
      <c r="GJ49" s="1" t="n"/>
      <c r="GK49" s="1" t="n"/>
      <c r="GL49" s="1" t="n"/>
      <c r="GM49" s="1" t="n"/>
      <c r="GN49" s="1" t="n"/>
      <c r="GO49" s="1" t="n"/>
      <c r="GP49" s="1" t="n"/>
      <c r="GQ49" s="1" t="n"/>
      <c r="GR49" s="1" t="n"/>
      <c r="GS49" s="1" t="n"/>
      <c r="GT49" s="1" t="n"/>
      <c r="GU49" s="1" t="n"/>
      <c r="GV49" s="1" t="n"/>
      <c r="GW49" s="1" t="n"/>
      <c r="GX49" s="1" t="n"/>
      <c r="GY49" s="1" t="n"/>
      <c r="GZ49" s="1" t="n"/>
      <c r="HA49" s="1" t="n"/>
      <c r="HB49" s="1" t="n"/>
      <c r="HC49" s="1" t="n"/>
      <c r="HD49" s="1" t="n"/>
      <c r="HE49" s="1" t="n"/>
      <c r="HF49" s="1" t="n"/>
      <c r="HG49" s="1" t="n"/>
      <c r="HH49" s="1" t="n"/>
      <c r="HI49" s="1" t="n"/>
      <c r="HJ49" s="1" t="n"/>
      <c r="HK49" s="1" t="n"/>
      <c r="HL49" s="1" t="n"/>
      <c r="HM49" s="1" t="n"/>
      <c r="HN49" s="1" t="n"/>
      <c r="HO49" s="1" t="n"/>
      <c r="HP49" s="1" t="n"/>
      <c r="HQ49" s="1" t="n"/>
      <c r="HR49" s="1" t="n"/>
      <c r="HS49" s="1" t="n"/>
      <c r="HT49" s="1" t="n"/>
      <c r="HU49" s="1" t="n"/>
      <c r="HV49" s="1" t="n"/>
      <c r="HW49" s="1" t="n"/>
      <c r="HX49" s="1" t="n"/>
      <c r="HY49" s="1" t="n"/>
      <c r="HZ49" s="1" t="n"/>
      <c r="IA49" s="1" t="n"/>
      <c r="IB49" s="1" t="n"/>
      <c r="IC49" s="1" t="n"/>
      <c r="ID49" s="1" t="n"/>
      <c r="IE49" s="1" t="n"/>
      <c r="IF49" s="1" t="n"/>
      <c r="IG49" s="1" t="n"/>
      <c r="IH49" s="1" t="n"/>
      <c r="II49" s="1" t="n"/>
      <c r="IJ49" s="1" t="n"/>
      <c r="IK49" s="1" t="n"/>
      <c r="IL49" s="1" t="n"/>
      <c r="IM49" s="1" t="n"/>
      <c r="IN49" s="1" t="n"/>
      <c r="IO49" s="1" t="n"/>
      <c r="IP49" s="1" t="n"/>
      <c r="IQ49" s="1" t="n"/>
      <c r="IR49" s="1" t="n"/>
      <c r="IS49" s="1" t="n"/>
      <c r="IT49" s="1" t="n"/>
      <c r="IU49" s="1" t="n"/>
      <c r="IV49" s="1" t="n"/>
    </row>
  </sheetData>
  <mergeCells count="5">
    <mergeCell ref="A2:F2"/>
    <mergeCell ref="A1:F1"/>
    <mergeCell ref="A5:F5"/>
    <mergeCell ref="A4:F4"/>
    <mergeCell ref="A3:F3"/>
  </mergeCells>
  <hyperlinks>
    <hyperlink xmlns:r="http://schemas.openxmlformats.org/officeDocument/2006/relationships" ref="A2" r:id="rId1"/>
  </hyperlinks>
  <pageMargins left="0.7" right="0.7" top="0.75" bottom="0.75" header="0.3" footer="0.3"/>
  <pageSetup orientation="portrait" paperSize="9" scale="7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lydia_chen</dc:creator>
  <dcterms:created xsi:type="dcterms:W3CDTF">2015-07-16T04:09:37Z</dcterms:created>
  <dcterms:modified xsi:type="dcterms:W3CDTF">2026-07-07T05:50:18Z</dcterms:modified>
  <cp:lastModifiedBy>陳惠卿 [ Lydia Chen ]</cp:lastModifiedBy>
  <cp:lastPrinted>2022-08-30T03:41:40Z</cp:lastPrinted>
</cp:coreProperties>
</file>