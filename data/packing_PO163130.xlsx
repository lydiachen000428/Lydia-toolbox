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9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4" fontId="40" fillId="0" borderId="0" pivotButton="0" quotePrefix="0" xfId="0"/>
    <xf numFmtId="0" fontId="40" fillId="0" borderId="0" pivotButton="0" quotePrefix="0" xfId="0"/>
    <xf numFmtId="164" fontId="40" fillId="0" borderId="0" applyAlignment="1" pivotButton="0" quotePrefix="0" xfId="0">
      <alignment horizontal="left" vertical="center"/>
    </xf>
    <xf numFmtId="166" fontId="20" fillId="2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166" fontId="4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90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163130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8 JULY 2026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34</t>
        </is>
      </c>
      <c r="D12" s="130">
        <f>C12-A12+1</f>
        <v/>
      </c>
      <c r="E12" s="105" t="inlineStr">
        <is>
          <t>163130</t>
        </is>
      </c>
      <c r="F12" s="105" t="inlineStr">
        <is>
          <t>8SHD130034</t>
        </is>
      </c>
      <c r="G12" s="106" t="inlineStr">
        <is>
          <t>0266MXWDL-2PXCES0;MM XTRA-STR W/D FLX NCK</t>
        </is>
      </c>
      <c r="H12" s="131" t="n">
        <v>30</v>
      </c>
      <c r="I12" s="131" t="inlineStr">
        <is>
          <t>41*35.7*30.8</t>
        </is>
      </c>
      <c r="J12" s="132">
        <f>41*35.7*30.8/1000000</f>
        <v/>
      </c>
      <c r="K12" s="133" t="n">
        <v>8.699999999999999</v>
      </c>
      <c r="L12" s="134" t="n">
        <v>12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02" t="inlineStr">
        <is>
          <t>1</t>
        </is>
      </c>
      <c r="B14" s="96" t="inlineStr">
        <is>
          <t>-</t>
        </is>
      </c>
      <c r="C14" s="103" t="inlineStr">
        <is>
          <t>2</t>
        </is>
      </c>
      <c r="D14" s="130">
        <f>C14-A14+1</f>
        <v/>
      </c>
      <c r="E14" s="105" t="inlineStr">
        <is>
          <t>163130</t>
        </is>
      </c>
      <c r="F14" s="105" t="inlineStr">
        <is>
          <t>8SHN150002</t>
        </is>
      </c>
      <c r="G14" s="106" t="inlineStr">
        <is>
          <t>0266DMDHD-BP0;HD ADHESIVE DISK-LRG</t>
        </is>
      </c>
      <c r="H14" s="131" t="n">
        <v>500</v>
      </c>
      <c r="I14" s="131" t="inlineStr">
        <is>
          <t>62.5*32.5*24</t>
        </is>
      </c>
      <c r="J14" s="132">
        <f>62.5*32.5*24/1000000</f>
        <v/>
      </c>
      <c r="K14" s="138" t="n">
        <v>12.3</v>
      </c>
      <c r="L14" s="139" t="n">
        <v>13.38</v>
      </c>
    </row>
    <row r="15" ht="20.15" customFormat="1" customHeight="1" s="1" thickTop="1">
      <c r="A15" s="97" t="n"/>
      <c r="B15" s="97" t="n"/>
      <c r="C15" s="14" t="n"/>
      <c r="D15" s="135" t="n"/>
      <c r="E15" s="136" t="n"/>
      <c r="F15" s="95" t="n"/>
      <c r="G15" s="87" t="inlineStr">
        <is>
          <t>SUBTOTAL:</t>
        </is>
      </c>
      <c r="H15" s="137">
        <f>H14*D14</f>
        <v/>
      </c>
      <c r="I15" s="137" t="n"/>
      <c r="J15" s="132">
        <f>J14*D14</f>
        <v/>
      </c>
      <c r="K15" s="138">
        <f>K14*D14</f>
        <v/>
      </c>
      <c r="L15" s="139">
        <f>L14*D14</f>
        <v/>
      </c>
    </row>
    <row r="16" ht="20.15" customFormat="1" customHeight="1" s="1">
      <c r="A16" s="102" t="inlineStr">
        <is>
          <t>1</t>
        </is>
      </c>
      <c r="B16" s="96" t="inlineStr">
        <is>
          <t>-</t>
        </is>
      </c>
      <c r="C16" s="103" t="inlineStr">
        <is>
          <t>72</t>
        </is>
      </c>
      <c r="D16" s="130">
        <f>C16-A16+1</f>
        <v/>
      </c>
      <c r="E16" s="105" t="inlineStr">
        <is>
          <t>163130</t>
        </is>
      </c>
      <c r="F16" s="105" t="inlineStr">
        <is>
          <t>8SHB010041</t>
        </is>
      </c>
      <c r="G16" s="106" t="inlineStr">
        <is>
          <t>0266VWDSM2-SP; WNDW / VNT MNT SCTN BSE 固定支架</t>
        </is>
      </c>
      <c r="H16" s="131" t="n">
        <v>36</v>
      </c>
      <c r="I16" s="131" t="inlineStr">
        <is>
          <t>42*29*39</t>
        </is>
      </c>
      <c r="J16" s="132">
        <f>42*29*39/1000000</f>
        <v/>
      </c>
      <c r="K16" s="138" t="n">
        <v>3.2994</v>
      </c>
      <c r="L16" s="139" t="n">
        <v>6.97</v>
      </c>
    </row>
    <row r="17" ht="20.15" customFormat="1" customHeight="1" s="1">
      <c r="A17" s="97" t="n"/>
      <c r="B17" s="97" t="n"/>
      <c r="C17" s="14" t="n"/>
      <c r="D17" s="135" t="n"/>
      <c r="E17" s="136" t="n"/>
      <c r="F17" s="95" t="n"/>
      <c r="G17" s="87" t="inlineStr">
        <is>
          <t>SUBTOTAL:</t>
        </is>
      </c>
      <c r="H17" s="137">
        <f>H16*D16</f>
        <v/>
      </c>
      <c r="I17" s="137" t="n"/>
      <c r="J17" s="132">
        <f>J16*D16</f>
        <v/>
      </c>
      <c r="K17" s="138">
        <f>K16*D16</f>
        <v/>
      </c>
      <c r="L17" s="139">
        <f>L16*D16</f>
        <v/>
      </c>
    </row>
    <row r="18" ht="20.15" customFormat="1" customHeight="1" s="1">
      <c r="A18" s="102" t="inlineStr">
        <is>
          <t>1</t>
        </is>
      </c>
      <c r="B18" s="96" t="inlineStr">
        <is>
          <t>-</t>
        </is>
      </c>
      <c r="C18" s="103" t="inlineStr">
        <is>
          <t>42</t>
        </is>
      </c>
      <c r="D18" s="130">
        <f>C18-A18+1</f>
        <v/>
      </c>
      <c r="E18" s="105" t="inlineStr">
        <is>
          <t>163130</t>
        </is>
      </c>
      <c r="F18" s="105" t="inlineStr">
        <is>
          <t>8SHB130242</t>
        </is>
      </c>
      <c r="G18" s="106" t="inlineStr">
        <is>
          <t>0266SMS2CD-SP;MS CD Mount</t>
        </is>
      </c>
      <c r="H18" s="131" t="n">
        <v>24</v>
      </c>
      <c r="I18" s="131" t="inlineStr">
        <is>
          <t>38*30.8*39</t>
        </is>
      </c>
      <c r="J18" s="132">
        <f>38*30.8*39/1000000</f>
        <v/>
      </c>
      <c r="K18" s="138" t="n">
        <v>2</v>
      </c>
      <c r="L18" s="139" t="n">
        <v>5.3</v>
      </c>
    </row>
    <row r="19" ht="20.15" customFormat="1" customHeight="1" s="1">
      <c r="A19" s="97" t="n"/>
      <c r="B19" s="97" t="n"/>
      <c r="C19" s="14" t="n"/>
      <c r="D19" s="135" t="n"/>
      <c r="E19" s="136" t="n"/>
      <c r="F19" s="95" t="n"/>
      <c r="G19" s="87" t="inlineStr">
        <is>
          <t>SUBTOTAL:</t>
        </is>
      </c>
      <c r="H19" s="137">
        <f>H18*D18</f>
        <v/>
      </c>
      <c r="I19" s="137" t="n"/>
      <c r="J19" s="132">
        <f>J18*D18</f>
        <v/>
      </c>
      <c r="K19" s="138">
        <f>K18*D18</f>
        <v/>
      </c>
      <c r="L19" s="139">
        <f>L18*D18</f>
        <v/>
      </c>
    </row>
    <row r="20" ht="20.15" customFormat="1" customHeight="1" s="1">
      <c r="A20" s="102" t="inlineStr">
        <is>
          <t>1</t>
        </is>
      </c>
      <c r="B20" s="96" t="inlineStr">
        <is>
          <t>-</t>
        </is>
      </c>
      <c r="C20" s="103" t="inlineStr">
        <is>
          <t>21</t>
        </is>
      </c>
      <c r="D20" s="130">
        <f>C20-A20+1</f>
        <v/>
      </c>
      <c r="E20" s="105" t="inlineStr">
        <is>
          <t>163130</t>
        </is>
      </c>
      <c r="F20" s="105" t="inlineStr">
        <is>
          <t>8SHV130011</t>
        </is>
      </c>
      <c r="G20" s="106" t="inlineStr">
        <is>
          <t>0266MMWSM-MX; MAGMNT SLCT WNDW/DSH</t>
        </is>
      </c>
      <c r="H20" s="131" t="n">
        <v>48</v>
      </c>
      <c r="I20" s="131" t="inlineStr">
        <is>
          <t>47.2*40.5*40.2</t>
        </is>
      </c>
      <c r="J20" s="132">
        <f>47.2*40.5*40.2/1000000</f>
        <v/>
      </c>
      <c r="K20" s="138" t="n">
        <v>3.2</v>
      </c>
      <c r="L20" s="139" t="n">
        <v>7.9</v>
      </c>
    </row>
    <row r="21" ht="15.5" customHeight="1">
      <c r="A21" s="97" t="n"/>
      <c r="B21" s="97" t="n"/>
      <c r="C21" s="14" t="n"/>
      <c r="D21" s="135" t="n"/>
      <c r="E21" s="136" t="n"/>
      <c r="F21" s="95" t="n"/>
      <c r="G21" s="87" t="inlineStr">
        <is>
          <t>SUBTOTAL:</t>
        </is>
      </c>
      <c r="H21" s="137">
        <f>H20*D20</f>
        <v/>
      </c>
      <c r="I21" s="137" t="n"/>
      <c r="J21" s="132">
        <f>J20*D20</f>
        <v/>
      </c>
      <c r="K21" s="138">
        <f>K20*D20</f>
        <v/>
      </c>
      <c r="L21" s="139">
        <f>L20*D20</f>
        <v/>
      </c>
    </row>
    <row r="22" ht="15.5" customHeight="1">
      <c r="A22" s="102" t="inlineStr">
        <is>
          <t>1</t>
        </is>
      </c>
      <c r="B22" s="96" t="inlineStr">
        <is>
          <t>-</t>
        </is>
      </c>
      <c r="C22" s="103" t="inlineStr">
        <is>
          <t>2</t>
        </is>
      </c>
      <c r="D22" s="130">
        <f>C22-A22+1</f>
        <v/>
      </c>
      <c r="E22" s="105" t="inlineStr">
        <is>
          <t>163130</t>
        </is>
      </c>
      <c r="F22" s="105" t="inlineStr">
        <is>
          <t>S6SH000111</t>
        </is>
      </c>
      <c r="G22" s="106" t="inlineStr">
        <is>
          <t>0266MPLTMSHD-BP0 Heavy Duty Magnet Ring</t>
        </is>
      </c>
      <c r="H22" s="131" t="n">
        <v>600</v>
      </c>
      <c r="I22" s="131" t="inlineStr">
        <is>
          <t>35.5*25.5*26.5</t>
        </is>
      </c>
      <c r="J22" s="132">
        <f>35.5*25.5*26.5/1000000</f>
        <v/>
      </c>
      <c r="K22" s="138" t="n">
        <v>5.3</v>
      </c>
      <c r="L22" s="139" t="n">
        <v>8.5</v>
      </c>
    </row>
    <row r="23" ht="20.15" customFormat="1" customHeight="1" s="1">
      <c r="A23" s="97" t="n"/>
      <c r="B23" s="97" t="n"/>
      <c r="C23" s="14" t="n"/>
      <c r="D23" s="135" t="n"/>
      <c r="E23" s="136" t="n"/>
      <c r="F23" s="95" t="n"/>
      <c r="G23" s="87" t="inlineStr">
        <is>
          <t>SUBTOTAL:</t>
        </is>
      </c>
      <c r="H23" s="137">
        <f>H22*D22</f>
        <v/>
      </c>
      <c r="I23" s="137" t="n"/>
      <c r="J23" s="132">
        <f>J22*D22</f>
        <v/>
      </c>
      <c r="K23" s="138">
        <f>K22*D22</f>
        <v/>
      </c>
      <c r="L23" s="139">
        <f>L22*D22</f>
        <v/>
      </c>
    </row>
    <row r="24" ht="20.15" customFormat="1" customHeight="1" s="1">
      <c r="A24" s="102" t="inlineStr">
        <is>
          <t>1</t>
        </is>
      </c>
      <c r="B24" s="96" t="inlineStr">
        <is>
          <t>-</t>
        </is>
      </c>
      <c r="C24" s="103" t="inlineStr">
        <is>
          <t>42</t>
        </is>
      </c>
      <c r="D24" s="130">
        <f>C24-A24+1</f>
        <v/>
      </c>
      <c r="E24" s="105" t="inlineStr">
        <is>
          <t>163130</t>
        </is>
      </c>
      <c r="F24" s="105" t="inlineStr">
        <is>
          <t>8SHB060031</t>
        </is>
      </c>
      <c r="G24" s="106" t="inlineStr">
        <is>
          <t>0266UHCUP2M-SP1; UNV QUICKGRIP CUP MNT G2</t>
        </is>
      </c>
      <c r="H24" s="131" t="n">
        <v>24</v>
      </c>
      <c r="I24" s="131" t="inlineStr">
        <is>
          <t>41*36*43</t>
        </is>
      </c>
      <c r="J24" s="132">
        <f>41*36*43/1000000</f>
        <v/>
      </c>
      <c r="K24" s="138" t="n">
        <v>5</v>
      </c>
      <c r="L24" s="139" t="n">
        <v>9.300000000000001</v>
      </c>
    </row>
    <row r="25" ht="20.15" customFormat="1" customHeight="1" s="1">
      <c r="A25" s="97" t="n"/>
      <c r="B25" s="97" t="n"/>
      <c r="C25" s="14" t="n"/>
      <c r="D25" s="135" t="n"/>
      <c r="E25" s="136" t="n"/>
      <c r="F25" s="95" t="n"/>
      <c r="G25" s="87" t="inlineStr">
        <is>
          <t>SUBTOTAL:</t>
        </is>
      </c>
      <c r="H25" s="137">
        <f>H24*D24</f>
        <v/>
      </c>
      <c r="I25" s="137" t="n"/>
      <c r="J25" s="132">
        <f>J24*D24</f>
        <v/>
      </c>
      <c r="K25" s="138">
        <f>K24*D24</f>
        <v/>
      </c>
      <c r="L25" s="139">
        <f>L24*D24</f>
        <v/>
      </c>
    </row>
    <row r="26" ht="15.5" customHeight="1">
      <c r="A26" s="140" t="inlineStr">
        <is>
          <t>215 CTNS</t>
        </is>
      </c>
      <c r="B26" s="141" t="n"/>
      <c r="C26" s="142" t="n"/>
      <c r="D26" s="143">
        <f>SUM(D12:D13)</f>
        <v/>
      </c>
      <c r="E26" s="16" t="n"/>
      <c r="F26" s="16" t="n"/>
      <c r="G26" s="17" t="inlineStr">
        <is>
          <t>TOTAL:</t>
        </is>
      </c>
      <c r="H26" s="144">
        <f>H13+H15+H17+H19+H21+H23+H25</f>
        <v/>
      </c>
      <c r="I26" s="144" t="n"/>
      <c r="J26" s="145">
        <f>J13+J15+J17+J19+J21+J23+J25</f>
        <v/>
      </c>
      <c r="K26" s="146">
        <f>K13+K15+K17+K19+K21+K23+K25</f>
        <v/>
      </c>
      <c r="L26" s="147">
        <f>L13+L15+L17+L19+L21+L23+L25</f>
        <v/>
      </c>
    </row>
    <row r="27" ht="15.5" customHeight="1">
      <c r="A27" s="22" t="inlineStr">
        <is>
          <t>REMARK:</t>
        </is>
      </c>
      <c r="B27" s="23" t="n"/>
      <c r="C27" s="85" t="inlineStr">
        <is>
          <t xml:space="preserve">TOTAL: 625 CTNS / 19.19 CBM / 2637.50 KG </t>
        </is>
      </c>
      <c r="D27" s="148" t="n"/>
      <c r="E27" s="148" t="n"/>
      <c r="F27" s="111" t="n"/>
      <c r="G27" s="25" t="n"/>
      <c r="H27" s="111" t="n"/>
      <c r="I27" s="111" t="n"/>
      <c r="J27" s="149" t="n"/>
      <c r="K27" s="150" t="n"/>
      <c r="L27" s="149" t="n"/>
    </row>
    <row r="28" ht="20.15" customFormat="1" customHeight="1" s="1">
      <c r="A28" s="28" t="n"/>
      <c r="B28" s="28" t="n"/>
      <c r="C28" s="29" t="n"/>
      <c r="D28" s="151" t="n"/>
      <c r="E28" s="151" t="n"/>
      <c r="F28" s="111" t="n"/>
      <c r="G28" s="31" t="n"/>
      <c r="H28" s="31" t="n"/>
      <c r="I28" s="31" t="n"/>
      <c r="J28" s="31" t="n"/>
      <c r="K28" s="31" t="n"/>
      <c r="L28" s="31" t="n"/>
      <c r="M28" s="32" t="n"/>
    </row>
    <row r="29" ht="20.15" customFormat="1" customHeight="1" s="1">
      <c r="A29" s="33" t="inlineStr">
        <is>
          <t xml:space="preserve">         **SHIPPING MARK**</t>
        </is>
      </c>
      <c r="B29" s="33" t="n"/>
      <c r="C29" s="33" t="n"/>
      <c r="D29" s="152" t="n"/>
      <c r="E29" s="152" t="n"/>
      <c r="F29" s="35" t="n"/>
      <c r="G29" s="36" t="n"/>
      <c r="H29" s="35" t="n"/>
      <c r="I29" s="35" t="n"/>
      <c r="J29" s="153" t="n"/>
      <c r="K29" s="154" t="n"/>
      <c r="L29" s="154" t="n"/>
      <c r="M29" s="39" t="n"/>
    </row>
    <row r="30" ht="20.15" customFormat="1" customHeight="1" s="1">
      <c r="A30" s="155" t="inlineStr">
        <is>
          <t>Part Number: 0266MXWDL-2PXCES0</t>
        </is>
      </c>
      <c r="C30" s="40" t="n"/>
      <c r="D30" s="156" t="n"/>
      <c r="E30" s="157" t="inlineStr">
        <is>
          <t>Part Number: 0266DMDHD-BP0</t>
        </is>
      </c>
      <c r="F30" s="35" t="n"/>
      <c r="I30" s="158" t="inlineStr">
        <is>
          <t>Part Number: 0266VWDSM2-SP</t>
        </is>
      </c>
      <c r="L30" s="154" t="n"/>
    </row>
    <row r="31" ht="20.15" customFormat="1" customHeight="1" s="1">
      <c r="A31" s="155" t="inlineStr">
        <is>
          <t>PO#: 163130</t>
        </is>
      </c>
      <c r="C31" s="40" t="n"/>
      <c r="D31" s="156" t="n"/>
      <c r="E31" s="157" t="inlineStr">
        <is>
          <t>PO#: 163130</t>
        </is>
      </c>
      <c r="I31" s="158" t="inlineStr">
        <is>
          <t>PO#: 163130</t>
        </is>
      </c>
      <c r="L31" s="154" t="n"/>
    </row>
    <row r="32" ht="20.15" customFormat="1" customHeight="1" s="1">
      <c r="A32" s="155" t="inlineStr">
        <is>
          <t>Date Code: 待確認</t>
        </is>
      </c>
      <c r="B32" s="33" t="n"/>
      <c r="C32" s="33" t="n"/>
      <c r="D32" s="152" t="n"/>
      <c r="E32" s="159" t="inlineStr">
        <is>
          <t>Date C ode: 1617164225</t>
        </is>
      </c>
      <c r="I32" s="158" t="inlineStr">
        <is>
          <t>Date Cod e: 1623121426</t>
        </is>
      </c>
      <c r="L32" s="154" t="n"/>
    </row>
    <row r="33" ht="20.15" customFormat="1" customHeight="1" s="1">
      <c r="A33" s="155" t="inlineStr">
        <is>
          <t>C/N: of 34</t>
        </is>
      </c>
      <c r="B33" s="1" t="n"/>
      <c r="C33" s="40" t="n"/>
      <c r="D33" s="156" t="n"/>
      <c r="E33" s="157" t="inlineStr">
        <is>
          <t>C/N: of 2</t>
        </is>
      </c>
      <c r="F33" s="55" t="n"/>
      <c r="G33" s="1" t="n"/>
      <c r="H33" s="153" t="n"/>
      <c r="I33" s="155" t="inlineStr">
        <is>
          <t>C/N: of 72</t>
        </is>
      </c>
      <c r="J33" s="39" t="n"/>
      <c r="K33" s="39" t="n"/>
      <c r="L33" s="154" t="n"/>
      <c r="N33" s="1" t="n"/>
      <c r="O33" s="40" t="n"/>
      <c r="P33" s="156" t="n"/>
      <c r="Q33" s="35" t="n"/>
      <c r="R33" s="1" t="n"/>
      <c r="S33" s="1" t="n"/>
      <c r="U33" s="153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  <c r="IW33" s="1" t="n"/>
    </row>
    <row r="34" ht="20.15" customFormat="1" customHeight="1" s="1">
      <c r="A34" s="155" t="inlineStr">
        <is>
          <t>Qty: 30 pcs</t>
        </is>
      </c>
      <c r="D34" s="55" t="n"/>
      <c r="E34" s="158" t="inlineStr">
        <is>
          <t>Qty: 500 pcs</t>
        </is>
      </c>
      <c r="F34" s="55" t="n"/>
      <c r="G34" s="1" t="n"/>
      <c r="H34" s="1" t="n"/>
      <c r="I34" s="155" t="inlineStr">
        <is>
          <t>Qty: 36 pcs</t>
        </is>
      </c>
      <c r="J34" s="153" t="n"/>
      <c r="K34" s="1" t="n"/>
      <c r="L34" s="154" t="n"/>
      <c r="N34" s="1" t="n"/>
      <c r="O34" s="40" t="n"/>
      <c r="P34" s="156" t="n"/>
      <c r="Q34" s="35" t="n"/>
      <c r="R34" s="1" t="n"/>
      <c r="S34" s="1" t="n"/>
      <c r="U34" s="153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  <c r="IW34" s="1" t="n"/>
    </row>
    <row r="35" ht="15.5" customHeight="1">
      <c r="A35" s="155" t="inlineStr">
        <is>
          <t>N. W.: 8.7 kg 19.18 lbs</t>
        </is>
      </c>
      <c r="C35" s="40" t="n"/>
      <c r="D35" s="156" t="n"/>
      <c r="E35" s="157" t="inlineStr">
        <is>
          <t>N. W.: 12.3 kg 27.12 lbs</t>
        </is>
      </c>
      <c r="I35" s="158" t="inlineStr">
        <is>
          <t>N. W.: 3.2994 kg 7.27 lbs</t>
        </is>
      </c>
      <c r="L35" s="154" t="n"/>
    </row>
    <row r="36" ht="15.5" customHeight="1">
      <c r="A36" s="155" t="inlineStr">
        <is>
          <t>G. W.: 12.0 kg 26.46 lbs</t>
        </is>
      </c>
      <c r="C36" s="40" t="n"/>
      <c r="D36" s="156" t="n"/>
      <c r="E36" s="157" t="inlineStr">
        <is>
          <t>G. W.: 13.38 kg 29.5 lbs</t>
        </is>
      </c>
      <c r="I36" s="158" t="inlineStr">
        <is>
          <t>G. W.: 6.97 kg 15.37 lbs</t>
        </is>
      </c>
      <c r="L36" s="154" t="n"/>
    </row>
    <row r="37" ht="20.15" customFormat="1" customHeight="1" s="1">
      <c r="A37" s="155" t="inlineStr">
        <is>
          <t>Dims (WDH): 410 x 357 x 308 mm</t>
        </is>
      </c>
      <c r="B37" s="33" t="n"/>
      <c r="C37" s="33" t="n"/>
      <c r="D37" s="152" t="n"/>
      <c r="E37" s="159" t="inlineStr">
        <is>
          <t>Dims (WDH): 625 x 325 x 240 mm</t>
        </is>
      </c>
      <c r="I37" s="158" t="inlineStr">
        <is>
          <t>Dims (W DH): 420 x 290 x 390 m m</t>
        </is>
      </c>
      <c r="L37" s="154" t="n"/>
    </row>
    <row r="38" ht="20.15" customFormat="1" customHeight="1" s="1">
      <c r="A38" s="155" t="inlineStr">
        <is>
          <t>(WDH): 16 . 1 x 14 . 1 x 12 . 1 inches</t>
        </is>
      </c>
      <c r="B38" s="1" t="n"/>
      <c r="C38" s="40" t="n"/>
      <c r="D38" s="156" t="n"/>
      <c r="E38" s="157" t="inlineStr">
        <is>
          <t>(WDH): 24.6 x 12.8 x 9.4 i nches</t>
        </is>
      </c>
      <c r="F38" s="55" t="n"/>
      <c r="G38" s="1" t="n"/>
      <c r="H38" s="153" t="n"/>
      <c r="I38" s="155" t="inlineStr">
        <is>
          <t>(W DH): 16.5 x 11.4 x 15.4 in ches</t>
        </is>
      </c>
      <c r="J38" s="39" t="n"/>
      <c r="K38" s="39" t="n"/>
      <c r="L38" s="154" t="n"/>
      <c r="N38" s="1" t="n"/>
      <c r="O38" s="40" t="n"/>
      <c r="P38" s="156" t="n"/>
      <c r="Q38" s="35" t="n"/>
      <c r="R38" s="1" t="n"/>
      <c r="S38" s="1" t="n"/>
      <c r="U38" s="153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  <c r="IW38" s="1" t="n"/>
    </row>
    <row r="39" ht="20.15" customFormat="1" customHeight="1" s="1">
      <c r="A39" s="155" t="inlineStr">
        <is>
          <t>Made in Vietnam</t>
        </is>
      </c>
      <c r="D39" s="55" t="n"/>
      <c r="E39" s="158" t="inlineStr">
        <is>
          <t>Made in Vietnam</t>
        </is>
      </c>
      <c r="F39" s="55" t="n"/>
      <c r="G39" s="1" t="n"/>
      <c r="H39" s="1" t="n"/>
      <c r="I39" s="155" t="inlineStr">
        <is>
          <t>Made in Vietnam</t>
        </is>
      </c>
      <c r="J39" s="153" t="n"/>
      <c r="K39" s="1" t="n"/>
      <c r="L39" s="154" t="n"/>
      <c r="N39" s="1" t="n"/>
      <c r="O39" s="40" t="n"/>
      <c r="P39" s="156" t="n"/>
      <c r="Q39" s="35" t="n"/>
      <c r="R39" s="1" t="n"/>
      <c r="S39" s="1" t="n"/>
      <c r="U39" s="153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</row>
    <row r="40" ht="20.15" customFormat="1" customHeight="1" s="1">
      <c r="A40" s="155" t="inlineStr">
        <is>
          <t>*** GOODS ROHS COMPLIANT***</t>
        </is>
      </c>
      <c r="C40" s="40" t="n"/>
      <c r="D40" s="156" t="n"/>
      <c r="E40" s="157" t="inlineStr">
        <is>
          <t>* GOODS ROHS COMPLIANT*</t>
        </is>
      </c>
      <c r="I40" s="158" t="inlineStr">
        <is>
          <t>*** GOODS ROHS COMPLIANT***</t>
        </is>
      </c>
      <c r="L40" s="154" t="n"/>
    </row>
    <row r="41" ht="20.15" customFormat="1" customHeight="1" s="1">
      <c r="A41" s="65" t="inlineStr">
        <is>
          <t>RFID</t>
        </is>
      </c>
      <c r="C41" s="40" t="n"/>
      <c r="D41" s="156" t="n"/>
      <c r="E41" s="156" t="n"/>
      <c r="I41" s="160" t="n"/>
      <c r="L41" s="154" t="n"/>
    </row>
    <row r="42" ht="16" customHeight="1" thickBot="1">
      <c r="A42" s="65" t="n"/>
      <c r="C42" s="40" t="n"/>
      <c r="D42" s="156" t="n"/>
      <c r="E42" s="156" t="n"/>
      <c r="G42" s="160" t="n"/>
      <c r="I42" s="160" t="n"/>
      <c r="L42" s="154" t="n"/>
    </row>
    <row r="43" ht="16" customHeight="1" thickTop="1">
      <c r="A43" s="161" t="inlineStr">
        <is>
          <t>Part Number: 0266SMS2CD-SP</t>
        </is>
      </c>
      <c r="C43" s="40" t="n"/>
      <c r="D43" s="156" t="n"/>
      <c r="E43" s="156" t="n"/>
      <c r="I43" s="65" t="n"/>
      <c r="L43" s="154" t="n"/>
    </row>
    <row r="44">
      <c r="A44" s="162" t="inlineStr">
        <is>
          <t>PO#: 163130</t>
        </is>
      </c>
      <c r="C44" s="40" t="n"/>
      <c r="D44" s="156" t="n"/>
      <c r="E44" s="156" t="n"/>
      <c r="I44" s="65" t="n"/>
      <c r="L44" s="154" t="n"/>
    </row>
    <row r="45">
      <c r="A45" s="162" t="inlineStr">
        <is>
          <t>Date Code: 待確認</t>
        </is>
      </c>
      <c r="C45" s="40" t="n"/>
      <c r="D45" s="156" t="n"/>
      <c r="E45" s="156" t="n"/>
      <c r="I45" s="65" t="n"/>
      <c r="L45" s="154" t="n"/>
    </row>
    <row r="46" ht="17" customHeight="1">
      <c r="A46" s="162" t="inlineStr">
        <is>
          <t>C/N: of 42</t>
        </is>
      </c>
      <c r="B46" s="33" t="n"/>
      <c r="C46" s="33" t="n"/>
      <c r="D46" s="152" t="n"/>
      <c r="E46" s="152" t="n"/>
      <c r="I46" s="65" t="n"/>
      <c r="L46" s="154" t="n"/>
    </row>
    <row r="47" ht="17" customHeight="1">
      <c r="A47" s="162" t="inlineStr">
        <is>
          <t>Qty: 24 pcs</t>
        </is>
      </c>
      <c r="B47" s="1" t="n"/>
      <c r="C47" s="40" t="n"/>
      <c r="D47" s="156" t="n"/>
      <c r="E47" s="156" t="n"/>
      <c r="F47" s="35" t="n"/>
      <c r="G47" s="1" t="n"/>
      <c r="H47" s="1" t="n"/>
      <c r="I47" s="65" t="n"/>
      <c r="J47" s="39" t="n"/>
      <c r="K47" s="39" t="n"/>
      <c r="L47" s="154" t="n"/>
      <c r="N47" s="1" t="n"/>
      <c r="O47" s="40" t="n"/>
      <c r="P47" s="156" t="n"/>
      <c r="Q47" s="35" t="n"/>
      <c r="R47" s="1" t="n"/>
      <c r="S47" s="1" t="n"/>
      <c r="U47" s="153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</row>
    <row r="48">
      <c r="A48" s="161" t="inlineStr">
        <is>
          <t>N. W.: 2.0 kg 4.41 lbs</t>
        </is>
      </c>
      <c r="D48" s="55" t="n"/>
      <c r="E48" s="55" t="n"/>
      <c r="F48" s="55" t="n"/>
      <c r="G48" s="1" t="n"/>
      <c r="H48" s="1" t="n"/>
      <c r="I48" s="65" t="n"/>
      <c r="J48" s="153" t="n"/>
      <c r="K48" s="1" t="n"/>
      <c r="L48" s="154" t="n"/>
      <c r="N48" s="1" t="n"/>
      <c r="O48" s="40" t="n"/>
      <c r="P48" s="156" t="n"/>
      <c r="Q48" s="35" t="n"/>
      <c r="R48" s="1" t="n"/>
      <c r="S48" s="1" t="n"/>
      <c r="U48" s="153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  <row r="49">
      <c r="A49" s="161" t="inlineStr">
        <is>
          <t>G. W.: 5.3 kg 11.68 lbs</t>
        </is>
      </c>
      <c r="C49" s="40" t="n"/>
      <c r="D49" s="156" t="n"/>
      <c r="E49" s="156" t="n"/>
      <c r="I49" s="65" t="n"/>
      <c r="L49" s="154" t="n"/>
    </row>
    <row r="50">
      <c r="A50" s="161" t="inlineStr">
        <is>
          <t>Dims (WDH): 380 x 308 x 390 mm</t>
        </is>
      </c>
      <c r="C50" s="40" t="n"/>
      <c r="D50" s="156" t="n"/>
      <c r="E50" s="156" t="n"/>
      <c r="I50" s="65" t="n"/>
      <c r="L50" s="154" t="n"/>
    </row>
    <row r="51">
      <c r="A51" s="162" t="inlineStr">
        <is>
          <t>(WDH): 15 x 12.1 x 1 5.4 inches</t>
        </is>
      </c>
      <c r="C51" s="40" t="n"/>
      <c r="D51" s="156" t="n"/>
      <c r="E51" s="156" t="n"/>
      <c r="I51" s="65" t="n"/>
      <c r="L51" s="154" t="n"/>
    </row>
    <row r="52">
      <c r="A52" s="162" t="inlineStr">
        <is>
          <t>Made in Vietnam</t>
        </is>
      </c>
      <c r="C52" s="40" t="n"/>
      <c r="D52" s="156" t="n"/>
      <c r="E52" s="156" t="n"/>
      <c r="I52" s="65" t="n"/>
      <c r="L52" s="154" t="n"/>
    </row>
    <row r="53">
      <c r="A53" s="162" t="inlineStr">
        <is>
          <t>*** GOODS ROHS COMPLIANT***</t>
        </is>
      </c>
      <c r="C53" s="40" t="n"/>
      <c r="D53" s="156" t="n"/>
      <c r="E53" s="156" t="n"/>
      <c r="G53" s="163" t="n"/>
      <c r="I53" s="160" t="n"/>
      <c r="L53" s="154" t="n"/>
    </row>
    <row r="54">
      <c r="A54" s="45" t="n"/>
      <c r="B54" s="44" t="n"/>
      <c r="C54" s="45" t="n"/>
      <c r="D54" s="164" t="n"/>
      <c r="E54" s="164" t="n"/>
      <c r="F54" s="47" t="n"/>
      <c r="G54" s="47" t="n"/>
      <c r="H54" s="43" t="n"/>
      <c r="I54" s="43" t="n"/>
      <c r="J54" s="48" t="n"/>
      <c r="K54" s="43" t="n"/>
      <c r="L54" s="165" t="n"/>
      <c r="N54" s="1" t="n"/>
      <c r="O54" s="40" t="n"/>
      <c r="P54" s="156" t="n"/>
      <c r="Q54" s="35" t="n"/>
      <c r="R54" s="1" t="n"/>
      <c r="S54" s="1" t="n"/>
      <c r="U54" s="153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  <c r="CI54" s="1" t="n"/>
      <c r="CJ54" s="1" t="n"/>
      <c r="CK54" s="1" t="n"/>
      <c r="CL54" s="1" t="n"/>
      <c r="CM54" s="1" t="n"/>
      <c r="CN54" s="1" t="n"/>
      <c r="CO54" s="1" t="n"/>
      <c r="CP54" s="1" t="n"/>
      <c r="CQ54" s="1" t="n"/>
      <c r="CR54" s="1" t="n"/>
      <c r="CS54" s="1" t="n"/>
      <c r="CT54" s="1" t="n"/>
      <c r="CU54" s="1" t="n"/>
      <c r="CV54" s="1" t="n"/>
      <c r="CW54" s="1" t="n"/>
      <c r="CX54" s="1" t="n"/>
      <c r="CY54" s="1" t="n"/>
      <c r="CZ54" s="1" t="n"/>
      <c r="DA54" s="1" t="n"/>
      <c r="DB54" s="1" t="n"/>
      <c r="DC54" s="1" t="n"/>
      <c r="DD54" s="1" t="n"/>
      <c r="DE54" s="1" t="n"/>
      <c r="DF54" s="1" t="n"/>
      <c r="DG54" s="1" t="n"/>
      <c r="DH54" s="1" t="n"/>
      <c r="DI54" s="1" t="n"/>
      <c r="DJ54" s="1" t="n"/>
      <c r="DK54" s="1" t="n"/>
      <c r="DL54" s="1" t="n"/>
      <c r="DM54" s="1" t="n"/>
      <c r="DN54" s="1" t="n"/>
      <c r="DO54" s="1" t="n"/>
      <c r="DP54" s="1" t="n"/>
      <c r="DQ54" s="1" t="n"/>
      <c r="DR54" s="1" t="n"/>
      <c r="DS54" s="1" t="n"/>
      <c r="DT54" s="1" t="n"/>
      <c r="DU54" s="1" t="n"/>
      <c r="DV54" s="1" t="n"/>
      <c r="DW54" s="1" t="n"/>
      <c r="DX54" s="1" t="n"/>
      <c r="DY54" s="1" t="n"/>
      <c r="DZ54" s="1" t="n"/>
      <c r="EA54" s="1" t="n"/>
      <c r="EB54" s="1" t="n"/>
      <c r="EC54" s="1" t="n"/>
      <c r="ED54" s="1" t="n"/>
      <c r="EE54" s="1" t="n"/>
      <c r="EF54" s="1" t="n"/>
      <c r="EG54" s="1" t="n"/>
      <c r="EH54" s="1" t="n"/>
      <c r="EI54" s="1" t="n"/>
      <c r="EJ54" s="1" t="n"/>
      <c r="EK54" s="1" t="n"/>
      <c r="EL54" s="1" t="n"/>
      <c r="EM54" s="1" t="n"/>
      <c r="EN54" s="1" t="n"/>
      <c r="EO54" s="1" t="n"/>
      <c r="EP54" s="1" t="n"/>
      <c r="EQ54" s="1" t="n"/>
      <c r="ER54" s="1" t="n"/>
      <c r="ES54" s="1" t="n"/>
      <c r="ET54" s="1" t="n"/>
      <c r="EU54" s="1" t="n"/>
      <c r="EV54" s="1" t="n"/>
      <c r="EW54" s="1" t="n"/>
      <c r="EX54" s="1" t="n"/>
      <c r="EY54" s="1" t="n"/>
      <c r="EZ54" s="1" t="n"/>
      <c r="FA54" s="1" t="n"/>
      <c r="FB54" s="1" t="n"/>
      <c r="FC54" s="1" t="n"/>
      <c r="FD54" s="1" t="n"/>
      <c r="FE54" s="1" t="n"/>
      <c r="FF54" s="1" t="n"/>
      <c r="FG54" s="1" t="n"/>
      <c r="FH54" s="1" t="n"/>
      <c r="FI54" s="1" t="n"/>
      <c r="FJ54" s="1" t="n"/>
      <c r="FK54" s="1" t="n"/>
      <c r="FL54" s="1" t="n"/>
      <c r="FM54" s="1" t="n"/>
      <c r="FN54" s="1" t="n"/>
      <c r="FO54" s="1" t="n"/>
      <c r="FP54" s="1" t="n"/>
      <c r="FQ54" s="1" t="n"/>
      <c r="FR54" s="1" t="n"/>
      <c r="FS54" s="1" t="n"/>
      <c r="FT54" s="1" t="n"/>
      <c r="FU54" s="1" t="n"/>
      <c r="FV54" s="1" t="n"/>
      <c r="FW54" s="1" t="n"/>
      <c r="FX54" s="1" t="n"/>
      <c r="FY54" s="1" t="n"/>
      <c r="FZ54" s="1" t="n"/>
      <c r="GA54" s="1" t="n"/>
      <c r="GB54" s="1" t="n"/>
      <c r="GC54" s="1" t="n"/>
      <c r="GD54" s="1" t="n"/>
      <c r="GE54" s="1" t="n"/>
      <c r="GF54" s="1" t="n"/>
      <c r="GG54" s="1" t="n"/>
      <c r="GH54" s="1" t="n"/>
      <c r="GI54" s="1" t="n"/>
      <c r="GJ54" s="1" t="n"/>
      <c r="GK54" s="1" t="n"/>
      <c r="GL54" s="1" t="n"/>
      <c r="GM54" s="1" t="n"/>
      <c r="GN54" s="1" t="n"/>
      <c r="GO54" s="1" t="n"/>
      <c r="GP54" s="1" t="n"/>
      <c r="GQ54" s="1" t="n"/>
      <c r="GR54" s="1" t="n"/>
      <c r="GS54" s="1" t="n"/>
      <c r="GT54" s="1" t="n"/>
      <c r="GU54" s="1" t="n"/>
      <c r="GV54" s="1" t="n"/>
      <c r="GW54" s="1" t="n"/>
      <c r="GX54" s="1" t="n"/>
      <c r="GY54" s="1" t="n"/>
      <c r="GZ54" s="1" t="n"/>
      <c r="HA54" s="1" t="n"/>
      <c r="HB54" s="1" t="n"/>
      <c r="HC54" s="1" t="n"/>
      <c r="HD54" s="1" t="n"/>
      <c r="HE54" s="1" t="n"/>
      <c r="HF54" s="1" t="n"/>
      <c r="HG54" s="1" t="n"/>
      <c r="HH54" s="1" t="n"/>
      <c r="HI54" s="1" t="n"/>
      <c r="HJ54" s="1" t="n"/>
      <c r="HK54" s="1" t="n"/>
      <c r="HL54" s="1" t="n"/>
      <c r="HM54" s="1" t="n"/>
      <c r="HN54" s="1" t="n"/>
      <c r="HO54" s="1" t="n"/>
      <c r="HP54" s="1" t="n"/>
      <c r="HQ54" s="1" t="n"/>
      <c r="HR54" s="1" t="n"/>
      <c r="HS54" s="1" t="n"/>
      <c r="HT54" s="1" t="n"/>
      <c r="HU54" s="1" t="n"/>
      <c r="HV54" s="1" t="n"/>
      <c r="HW54" s="1" t="n"/>
      <c r="HX54" s="1" t="n"/>
      <c r="HY54" s="1" t="n"/>
      <c r="HZ54" s="1" t="n"/>
      <c r="IA54" s="1" t="n"/>
      <c r="IB54" s="1" t="n"/>
      <c r="IC54" s="1" t="n"/>
      <c r="ID54" s="1" t="n"/>
      <c r="IE54" s="1" t="n"/>
      <c r="IF54" s="1" t="n"/>
      <c r="IG54" s="1" t="n"/>
      <c r="IH54" s="1" t="n"/>
      <c r="II54" s="1" t="n"/>
      <c r="IJ54" s="1" t="n"/>
      <c r="IK54" s="1" t="n"/>
      <c r="IL54" s="1" t="n"/>
      <c r="IM54" s="1" t="n"/>
      <c r="IN54" s="1" t="n"/>
      <c r="IO54" s="1" t="n"/>
      <c r="IP54" s="1" t="n"/>
      <c r="IQ54" s="1" t="n"/>
      <c r="IR54" s="1" t="n"/>
      <c r="IS54" s="1" t="n"/>
      <c r="IT54" s="1" t="n"/>
      <c r="IU54" s="1" t="n"/>
      <c r="IV54" s="1" t="n"/>
      <c r="IW54" s="1" t="n"/>
    </row>
    <row r="55">
      <c r="A55" s="155" t="inlineStr">
        <is>
          <t>Part Number: 0266MMWSM-MX</t>
        </is>
      </c>
      <c r="B55" s="1" t="n"/>
      <c r="C55" s="1" t="n"/>
      <c r="D55" s="166" t="n"/>
      <c r="E55" s="166" t="n"/>
      <c r="F55" s="111" t="n"/>
      <c r="G55" s="1" t="n"/>
      <c r="H55" s="1" t="n"/>
      <c r="I55" s="1" t="n"/>
      <c r="J55" s="167" t="n"/>
      <c r="K55" s="168" t="n"/>
      <c r="L55" s="168" t="n"/>
      <c r="M55" s="163" t="n"/>
      <c r="N55" s="33" t="n"/>
      <c r="O55" s="33" t="n"/>
      <c r="P55" s="152" t="n"/>
      <c r="Q55" s="35" t="n"/>
      <c r="S55" s="1" t="n"/>
      <c r="T55" s="33" t="n"/>
      <c r="U55" s="153" t="n"/>
      <c r="V55" s="169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  <c r="CI55" s="1" t="n"/>
      <c r="CJ55" s="1" t="n"/>
      <c r="CK55" s="1" t="n"/>
      <c r="CL55" s="1" t="n"/>
      <c r="CM55" s="1" t="n"/>
      <c r="CN55" s="1" t="n"/>
      <c r="CO55" s="1" t="n"/>
      <c r="CP55" s="1" t="n"/>
      <c r="CQ55" s="1" t="n"/>
      <c r="CR55" s="1" t="n"/>
      <c r="CS55" s="1" t="n"/>
      <c r="CT55" s="1" t="n"/>
      <c r="CU55" s="1" t="n"/>
      <c r="CV55" s="1" t="n"/>
      <c r="CW55" s="1" t="n"/>
      <c r="CX55" s="1" t="n"/>
      <c r="CY55" s="1" t="n"/>
      <c r="CZ55" s="1" t="n"/>
      <c r="DA55" s="1" t="n"/>
      <c r="DB55" s="1" t="n"/>
      <c r="DC55" s="1" t="n"/>
      <c r="DD55" s="1" t="n"/>
      <c r="DE55" s="1" t="n"/>
      <c r="DF55" s="1" t="n"/>
      <c r="DG55" s="1" t="n"/>
      <c r="DH55" s="1" t="n"/>
      <c r="DI55" s="1" t="n"/>
      <c r="DJ55" s="1" t="n"/>
      <c r="DK55" s="1" t="n"/>
      <c r="DL55" s="1" t="n"/>
      <c r="DM55" s="1" t="n"/>
      <c r="DN55" s="1" t="n"/>
      <c r="DO55" s="1" t="n"/>
      <c r="DP55" s="1" t="n"/>
      <c r="DQ55" s="1" t="n"/>
      <c r="DR55" s="1" t="n"/>
      <c r="DS55" s="1" t="n"/>
      <c r="DT55" s="1" t="n"/>
      <c r="DU55" s="1" t="n"/>
      <c r="DV55" s="1" t="n"/>
      <c r="DW55" s="1" t="n"/>
      <c r="DX55" s="1" t="n"/>
      <c r="DY55" s="1" t="n"/>
      <c r="DZ55" s="1" t="n"/>
      <c r="EA55" s="1" t="n"/>
      <c r="EB55" s="1" t="n"/>
      <c r="EC55" s="1" t="n"/>
      <c r="ED55" s="1" t="n"/>
      <c r="EE55" s="1" t="n"/>
      <c r="EF55" s="1" t="n"/>
      <c r="EG55" s="1" t="n"/>
      <c r="EH55" s="1" t="n"/>
      <c r="EI55" s="1" t="n"/>
      <c r="EJ55" s="1" t="n"/>
      <c r="EK55" s="1" t="n"/>
      <c r="EL55" s="1" t="n"/>
      <c r="EM55" s="1" t="n"/>
      <c r="EN55" s="1" t="n"/>
      <c r="EO55" s="1" t="n"/>
      <c r="EP55" s="1" t="n"/>
      <c r="EQ55" s="1" t="n"/>
      <c r="ER55" s="1" t="n"/>
      <c r="ES55" s="1" t="n"/>
      <c r="ET55" s="1" t="n"/>
      <c r="EU55" s="1" t="n"/>
      <c r="EV55" s="1" t="n"/>
      <c r="EW55" s="1" t="n"/>
      <c r="EX55" s="1" t="n"/>
      <c r="EY55" s="1" t="n"/>
      <c r="EZ55" s="1" t="n"/>
      <c r="FA55" s="1" t="n"/>
      <c r="FB55" s="1" t="n"/>
      <c r="FC55" s="1" t="n"/>
      <c r="FD55" s="1" t="n"/>
      <c r="FE55" s="1" t="n"/>
      <c r="FF55" s="1" t="n"/>
      <c r="FG55" s="1" t="n"/>
      <c r="FH55" s="1" t="n"/>
      <c r="FI55" s="1" t="n"/>
      <c r="FJ55" s="1" t="n"/>
      <c r="FK55" s="1" t="n"/>
      <c r="FL55" s="1" t="n"/>
      <c r="FM55" s="1" t="n"/>
      <c r="FN55" s="1" t="n"/>
      <c r="FO55" s="1" t="n"/>
      <c r="FP55" s="1" t="n"/>
      <c r="FQ55" s="1" t="n"/>
      <c r="FR55" s="1" t="n"/>
      <c r="FS55" s="1" t="n"/>
      <c r="FT55" s="1" t="n"/>
      <c r="FU55" s="1" t="n"/>
      <c r="FV55" s="1" t="n"/>
      <c r="FW55" s="1" t="n"/>
      <c r="FX55" s="1" t="n"/>
      <c r="FY55" s="1" t="n"/>
      <c r="FZ55" s="1" t="n"/>
      <c r="GA55" s="1" t="n"/>
      <c r="GB55" s="1" t="n"/>
      <c r="GC55" s="1" t="n"/>
      <c r="GD55" s="1" t="n"/>
      <c r="GE55" s="1" t="n"/>
      <c r="GF55" s="1" t="n"/>
      <c r="GG55" s="1" t="n"/>
      <c r="GH55" s="1" t="n"/>
      <c r="GI55" s="1" t="n"/>
      <c r="GJ55" s="1" t="n"/>
      <c r="GK55" s="1" t="n"/>
      <c r="GL55" s="1" t="n"/>
      <c r="GM55" s="1" t="n"/>
      <c r="GN55" s="1" t="n"/>
      <c r="GO55" s="1" t="n"/>
      <c r="GP55" s="1" t="n"/>
      <c r="GQ55" s="1" t="n"/>
      <c r="GR55" s="1" t="n"/>
      <c r="GS55" s="1" t="n"/>
      <c r="GT55" s="1" t="n"/>
      <c r="GU55" s="1" t="n"/>
      <c r="GV55" s="1" t="n"/>
      <c r="GW55" s="1" t="n"/>
      <c r="GX55" s="1" t="n"/>
      <c r="GY55" s="1" t="n"/>
      <c r="GZ55" s="1" t="n"/>
      <c r="HA55" s="1" t="n"/>
      <c r="HB55" s="1" t="n"/>
      <c r="HC55" s="1" t="n"/>
      <c r="HD55" s="1" t="n"/>
      <c r="HE55" s="1" t="n"/>
      <c r="HF55" s="1" t="n"/>
      <c r="HG55" s="1" t="n"/>
      <c r="HH55" s="1" t="n"/>
      <c r="HI55" s="1" t="n"/>
      <c r="HJ55" s="1" t="n"/>
      <c r="HK55" s="1" t="n"/>
      <c r="HL55" s="1" t="n"/>
      <c r="HM55" s="1" t="n"/>
      <c r="HN55" s="1" t="n"/>
      <c r="HO55" s="1" t="n"/>
      <c r="HP55" s="1" t="n"/>
      <c r="HQ55" s="1" t="n"/>
      <c r="HR55" s="1" t="n"/>
      <c r="HS55" s="1" t="n"/>
      <c r="HT55" s="1" t="n"/>
      <c r="HU55" s="1" t="n"/>
      <c r="HV55" s="1" t="n"/>
      <c r="HW55" s="1" t="n"/>
      <c r="HX55" s="1" t="n"/>
      <c r="HY55" s="1" t="n"/>
      <c r="HZ55" s="1" t="n"/>
      <c r="IA55" s="1" t="n"/>
      <c r="IB55" s="1" t="n"/>
      <c r="IC55" s="1" t="n"/>
      <c r="ID55" s="1" t="n"/>
      <c r="IE55" s="1" t="n"/>
      <c r="IF55" s="1" t="n"/>
      <c r="IG55" s="1" t="n"/>
      <c r="IH55" s="1" t="n"/>
      <c r="II55" s="1" t="n"/>
      <c r="IJ55" s="1" t="n"/>
      <c r="IK55" s="1" t="n"/>
      <c r="IL55" s="1" t="n"/>
      <c r="IM55" s="1" t="n"/>
      <c r="IN55" s="1" t="n"/>
      <c r="IO55" s="1" t="n"/>
      <c r="IP55" s="1" t="n"/>
      <c r="IQ55" s="1" t="n"/>
      <c r="IR55" s="1" t="n"/>
      <c r="IS55" s="1" t="n"/>
      <c r="IT55" s="1" t="n"/>
      <c r="IU55" s="1" t="n"/>
      <c r="IV55" s="1" t="n"/>
      <c r="IW55" s="1" t="n"/>
    </row>
    <row r="56">
      <c r="A56" s="155" t="inlineStr">
        <is>
          <t>PO#: 163130</t>
        </is>
      </c>
      <c r="B56" s="1" t="n"/>
      <c r="C56" s="1" t="n"/>
      <c r="D56" s="166" t="n"/>
      <c r="E56" s="166" t="n"/>
      <c r="F56" s="111" t="inlineStr">
        <is>
          <t>COMART CORPORATION</t>
        </is>
      </c>
      <c r="G56" s="1" t="n"/>
      <c r="H56" s="1" t="n"/>
      <c r="I56" s="1" t="n"/>
      <c r="J56" s="167" t="n"/>
      <c r="K56" s="168" t="n"/>
      <c r="L56" s="168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  <c r="CI56" s="1" t="n"/>
      <c r="CJ56" s="1" t="n"/>
      <c r="CK56" s="1" t="n"/>
      <c r="CL56" s="1" t="n"/>
      <c r="CM56" s="1" t="n"/>
      <c r="CN56" s="1" t="n"/>
      <c r="CO56" s="1" t="n"/>
      <c r="CP56" s="1" t="n"/>
      <c r="CQ56" s="1" t="n"/>
      <c r="CR56" s="1" t="n"/>
      <c r="CS56" s="1" t="n"/>
      <c r="CT56" s="1" t="n"/>
      <c r="CU56" s="1" t="n"/>
      <c r="CV56" s="1" t="n"/>
      <c r="CW56" s="1" t="n"/>
      <c r="CX56" s="1" t="n"/>
      <c r="CY56" s="1" t="n"/>
      <c r="CZ56" s="1" t="n"/>
      <c r="DA56" s="1" t="n"/>
      <c r="DB56" s="1" t="n"/>
      <c r="DC56" s="1" t="n"/>
      <c r="DD56" s="1" t="n"/>
      <c r="DE56" s="1" t="n"/>
      <c r="DF56" s="1" t="n"/>
      <c r="DG56" s="1" t="n"/>
      <c r="DH56" s="1" t="n"/>
      <c r="DI56" s="1" t="n"/>
      <c r="DJ56" s="1" t="n"/>
      <c r="DK56" s="1" t="n"/>
      <c r="DL56" s="1" t="n"/>
      <c r="DM56" s="1" t="n"/>
      <c r="DN56" s="1" t="n"/>
      <c r="DO56" s="1" t="n"/>
      <c r="DP56" s="1" t="n"/>
      <c r="DQ56" s="1" t="n"/>
      <c r="DR56" s="1" t="n"/>
      <c r="DS56" s="1" t="n"/>
      <c r="DT56" s="1" t="n"/>
      <c r="DU56" s="1" t="n"/>
      <c r="DV56" s="1" t="n"/>
      <c r="DW56" s="1" t="n"/>
      <c r="DX56" s="1" t="n"/>
      <c r="DY56" s="1" t="n"/>
      <c r="DZ56" s="1" t="n"/>
      <c r="EA56" s="1" t="n"/>
      <c r="EB56" s="1" t="n"/>
      <c r="EC56" s="1" t="n"/>
      <c r="ED56" s="1" t="n"/>
      <c r="EE56" s="1" t="n"/>
      <c r="EF56" s="1" t="n"/>
      <c r="EG56" s="1" t="n"/>
      <c r="EH56" s="1" t="n"/>
      <c r="EI56" s="1" t="n"/>
      <c r="EJ56" s="1" t="n"/>
      <c r="EK56" s="1" t="n"/>
      <c r="EL56" s="1" t="n"/>
      <c r="EM56" s="1" t="n"/>
      <c r="EN56" s="1" t="n"/>
      <c r="EO56" s="1" t="n"/>
      <c r="EP56" s="1" t="n"/>
      <c r="EQ56" s="1" t="n"/>
      <c r="ER56" s="1" t="n"/>
      <c r="ES56" s="1" t="n"/>
      <c r="ET56" s="1" t="n"/>
      <c r="EU56" s="1" t="n"/>
      <c r="EV56" s="1" t="n"/>
      <c r="EW56" s="1" t="n"/>
      <c r="EX56" s="1" t="n"/>
      <c r="EY56" s="1" t="n"/>
      <c r="EZ56" s="1" t="n"/>
      <c r="FA56" s="1" t="n"/>
      <c r="FB56" s="1" t="n"/>
      <c r="FC56" s="1" t="n"/>
      <c r="FD56" s="1" t="n"/>
      <c r="FE56" s="1" t="n"/>
      <c r="FF56" s="1" t="n"/>
      <c r="FG56" s="1" t="n"/>
      <c r="FH56" s="1" t="n"/>
      <c r="FI56" s="1" t="n"/>
      <c r="FJ56" s="1" t="n"/>
      <c r="FK56" s="1" t="n"/>
      <c r="FL56" s="1" t="n"/>
      <c r="FM56" s="1" t="n"/>
      <c r="FN56" s="1" t="n"/>
      <c r="FO56" s="1" t="n"/>
      <c r="FP56" s="1" t="n"/>
      <c r="FQ56" s="1" t="n"/>
      <c r="FR56" s="1" t="n"/>
      <c r="FS56" s="1" t="n"/>
      <c r="FT56" s="1" t="n"/>
      <c r="FU56" s="1" t="n"/>
      <c r="FV56" s="1" t="n"/>
      <c r="FW56" s="1" t="n"/>
      <c r="FX56" s="1" t="n"/>
      <c r="FY56" s="1" t="n"/>
      <c r="FZ56" s="1" t="n"/>
      <c r="GA56" s="1" t="n"/>
      <c r="GB56" s="1" t="n"/>
      <c r="GC56" s="1" t="n"/>
      <c r="GD56" s="1" t="n"/>
      <c r="GE56" s="1" t="n"/>
      <c r="GF56" s="1" t="n"/>
      <c r="GG56" s="1" t="n"/>
      <c r="GH56" s="1" t="n"/>
      <c r="GI56" s="1" t="n"/>
      <c r="GJ56" s="1" t="n"/>
      <c r="GK56" s="1" t="n"/>
      <c r="GL56" s="1" t="n"/>
      <c r="GM56" s="1" t="n"/>
      <c r="GN56" s="1" t="n"/>
      <c r="GO56" s="1" t="n"/>
      <c r="GP56" s="1" t="n"/>
      <c r="GQ56" s="1" t="n"/>
      <c r="GR56" s="1" t="n"/>
      <c r="GS56" s="1" t="n"/>
      <c r="GT56" s="1" t="n"/>
      <c r="GU56" s="1" t="n"/>
      <c r="GV56" s="1" t="n"/>
      <c r="GW56" s="1" t="n"/>
      <c r="GX56" s="1" t="n"/>
      <c r="GY56" s="1" t="n"/>
      <c r="GZ56" s="1" t="n"/>
      <c r="HA56" s="1" t="n"/>
      <c r="HB56" s="1" t="n"/>
      <c r="HC56" s="1" t="n"/>
      <c r="HD56" s="1" t="n"/>
      <c r="HE56" s="1" t="n"/>
      <c r="HF56" s="1" t="n"/>
      <c r="HG56" s="1" t="n"/>
      <c r="HH56" s="1" t="n"/>
      <c r="HI56" s="1" t="n"/>
      <c r="HJ56" s="1" t="n"/>
      <c r="HK56" s="1" t="n"/>
      <c r="HL56" s="1" t="n"/>
      <c r="HM56" s="1" t="n"/>
      <c r="HN56" s="1" t="n"/>
      <c r="HO56" s="1" t="n"/>
      <c r="HP56" s="1" t="n"/>
      <c r="HQ56" s="1" t="n"/>
      <c r="HR56" s="1" t="n"/>
      <c r="HS56" s="1" t="n"/>
      <c r="HT56" s="1" t="n"/>
      <c r="HU56" s="1" t="n"/>
      <c r="HV56" s="1" t="n"/>
      <c r="HW56" s="1" t="n"/>
      <c r="HX56" s="1" t="n"/>
      <c r="HY56" s="1" t="n"/>
      <c r="HZ56" s="1" t="n"/>
      <c r="IA56" s="1" t="n"/>
      <c r="IB56" s="1" t="n"/>
      <c r="IC56" s="1" t="n"/>
      <c r="ID56" s="1" t="n"/>
      <c r="IE56" s="1" t="n"/>
      <c r="IF56" s="1" t="n"/>
      <c r="IG56" s="1" t="n"/>
      <c r="IH56" s="1" t="n"/>
      <c r="II56" s="1" t="n"/>
      <c r="IJ56" s="1" t="n"/>
      <c r="IK56" s="1" t="n"/>
      <c r="IL56" s="1" t="n"/>
      <c r="IM56" s="1" t="n"/>
      <c r="IN56" s="1" t="n"/>
      <c r="IO56" s="1" t="n"/>
      <c r="IP56" s="1" t="n"/>
      <c r="IQ56" s="1" t="n"/>
      <c r="IR56" s="1" t="n"/>
      <c r="IS56" s="1" t="n"/>
      <c r="IT56" s="1" t="n"/>
      <c r="IU56" s="1" t="n"/>
      <c r="IV56" s="1" t="n"/>
      <c r="IW56" s="1" t="n"/>
    </row>
    <row r="57">
      <c r="A57" s="155" t="inlineStr">
        <is>
          <t>Date C ode: 1629283126</t>
        </is>
      </c>
      <c r="B57" s="1" t="n"/>
      <c r="C57" s="1" t="n"/>
      <c r="D57" s="166" t="n"/>
      <c r="E57" s="166" t="n"/>
      <c r="F57" s="111" t="inlineStr">
        <is>
          <t>EMILY HOU</t>
        </is>
      </c>
      <c r="G57" s="1" t="n"/>
      <c r="H57" s="1" t="n"/>
      <c r="I57" s="1" t="n"/>
      <c r="J57" s="167" t="n"/>
      <c r="K57" s="168" t="n"/>
      <c r="L57" s="168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  <c r="CI57" s="1" t="n"/>
      <c r="CJ57" s="1" t="n"/>
      <c r="CK57" s="1" t="n"/>
      <c r="CL57" s="1" t="n"/>
      <c r="CM57" s="1" t="n"/>
      <c r="CN57" s="1" t="n"/>
      <c r="CO57" s="1" t="n"/>
      <c r="CP57" s="1" t="n"/>
      <c r="CQ57" s="1" t="n"/>
      <c r="CR57" s="1" t="n"/>
      <c r="CS57" s="1" t="n"/>
      <c r="CT57" s="1" t="n"/>
      <c r="CU57" s="1" t="n"/>
      <c r="CV57" s="1" t="n"/>
      <c r="CW57" s="1" t="n"/>
      <c r="CX57" s="1" t="n"/>
      <c r="CY57" s="1" t="n"/>
      <c r="CZ57" s="1" t="n"/>
      <c r="DA57" s="1" t="n"/>
      <c r="DB57" s="1" t="n"/>
      <c r="DC57" s="1" t="n"/>
      <c r="DD57" s="1" t="n"/>
      <c r="DE57" s="1" t="n"/>
      <c r="DF57" s="1" t="n"/>
      <c r="DG57" s="1" t="n"/>
      <c r="DH57" s="1" t="n"/>
      <c r="DI57" s="1" t="n"/>
      <c r="DJ57" s="1" t="n"/>
      <c r="DK57" s="1" t="n"/>
      <c r="DL57" s="1" t="n"/>
      <c r="DM57" s="1" t="n"/>
      <c r="DN57" s="1" t="n"/>
      <c r="DO57" s="1" t="n"/>
      <c r="DP57" s="1" t="n"/>
      <c r="DQ57" s="1" t="n"/>
      <c r="DR57" s="1" t="n"/>
      <c r="DS57" s="1" t="n"/>
      <c r="DT57" s="1" t="n"/>
      <c r="DU57" s="1" t="n"/>
      <c r="DV57" s="1" t="n"/>
      <c r="DW57" s="1" t="n"/>
      <c r="DX57" s="1" t="n"/>
      <c r="DY57" s="1" t="n"/>
      <c r="DZ57" s="1" t="n"/>
      <c r="EA57" s="1" t="n"/>
      <c r="EB57" s="1" t="n"/>
      <c r="EC57" s="1" t="n"/>
      <c r="ED57" s="1" t="n"/>
      <c r="EE57" s="1" t="n"/>
      <c r="EF57" s="1" t="n"/>
      <c r="EG57" s="1" t="n"/>
      <c r="EH57" s="1" t="n"/>
      <c r="EI57" s="1" t="n"/>
      <c r="EJ57" s="1" t="n"/>
      <c r="EK57" s="1" t="n"/>
      <c r="EL57" s="1" t="n"/>
      <c r="EM57" s="1" t="n"/>
      <c r="EN57" s="1" t="n"/>
      <c r="EO57" s="1" t="n"/>
      <c r="EP57" s="1" t="n"/>
      <c r="EQ57" s="1" t="n"/>
      <c r="ER57" s="1" t="n"/>
      <c r="ES57" s="1" t="n"/>
      <c r="ET57" s="1" t="n"/>
      <c r="EU57" s="1" t="n"/>
      <c r="EV57" s="1" t="n"/>
      <c r="EW57" s="1" t="n"/>
      <c r="EX57" s="1" t="n"/>
      <c r="EY57" s="1" t="n"/>
      <c r="EZ57" s="1" t="n"/>
      <c r="FA57" s="1" t="n"/>
      <c r="FB57" s="1" t="n"/>
      <c r="FC57" s="1" t="n"/>
      <c r="FD57" s="1" t="n"/>
      <c r="FE57" s="1" t="n"/>
      <c r="FF57" s="1" t="n"/>
      <c r="FG57" s="1" t="n"/>
      <c r="FH57" s="1" t="n"/>
      <c r="FI57" s="1" t="n"/>
      <c r="FJ57" s="1" t="n"/>
      <c r="FK57" s="1" t="n"/>
      <c r="FL57" s="1" t="n"/>
      <c r="FM57" s="1" t="n"/>
      <c r="FN57" s="1" t="n"/>
      <c r="FO57" s="1" t="n"/>
      <c r="FP57" s="1" t="n"/>
      <c r="FQ57" s="1" t="n"/>
      <c r="FR57" s="1" t="n"/>
      <c r="FS57" s="1" t="n"/>
      <c r="FT57" s="1" t="n"/>
      <c r="FU57" s="1" t="n"/>
      <c r="FV57" s="1" t="n"/>
      <c r="FW57" s="1" t="n"/>
      <c r="FX57" s="1" t="n"/>
      <c r="FY57" s="1" t="n"/>
      <c r="FZ57" s="1" t="n"/>
      <c r="GA57" s="1" t="n"/>
      <c r="GB57" s="1" t="n"/>
      <c r="GC57" s="1" t="n"/>
      <c r="GD57" s="1" t="n"/>
      <c r="GE57" s="1" t="n"/>
      <c r="GF57" s="1" t="n"/>
      <c r="GG57" s="1" t="n"/>
      <c r="GH57" s="1" t="n"/>
      <c r="GI57" s="1" t="n"/>
      <c r="GJ57" s="1" t="n"/>
      <c r="GK57" s="1" t="n"/>
      <c r="GL57" s="1" t="n"/>
      <c r="GM57" s="1" t="n"/>
      <c r="GN57" s="1" t="n"/>
      <c r="GO57" s="1" t="n"/>
      <c r="GP57" s="1" t="n"/>
      <c r="GQ57" s="1" t="n"/>
      <c r="GR57" s="1" t="n"/>
      <c r="GS57" s="1" t="n"/>
      <c r="GT57" s="1" t="n"/>
      <c r="GU57" s="1" t="n"/>
      <c r="GV57" s="1" t="n"/>
      <c r="GW57" s="1" t="n"/>
      <c r="GX57" s="1" t="n"/>
      <c r="GY57" s="1" t="n"/>
      <c r="GZ57" s="1" t="n"/>
      <c r="HA57" s="1" t="n"/>
      <c r="HB57" s="1" t="n"/>
      <c r="HC57" s="1" t="n"/>
      <c r="HD57" s="1" t="n"/>
      <c r="HE57" s="1" t="n"/>
      <c r="HF57" s="1" t="n"/>
      <c r="HG57" s="1" t="n"/>
      <c r="HH57" s="1" t="n"/>
      <c r="HI57" s="1" t="n"/>
      <c r="HJ57" s="1" t="n"/>
      <c r="HK57" s="1" t="n"/>
      <c r="HL57" s="1" t="n"/>
      <c r="HM57" s="1" t="n"/>
      <c r="HN57" s="1" t="n"/>
      <c r="HO57" s="1" t="n"/>
      <c r="HP57" s="1" t="n"/>
      <c r="HQ57" s="1" t="n"/>
      <c r="HR57" s="1" t="n"/>
      <c r="HS57" s="1" t="n"/>
      <c r="HT57" s="1" t="n"/>
      <c r="HU57" s="1" t="n"/>
      <c r="HV57" s="1" t="n"/>
      <c r="HW57" s="1" t="n"/>
      <c r="HX57" s="1" t="n"/>
      <c r="HY57" s="1" t="n"/>
      <c r="HZ57" s="1" t="n"/>
      <c r="IA57" s="1" t="n"/>
      <c r="IB57" s="1" t="n"/>
      <c r="IC57" s="1" t="n"/>
      <c r="ID57" s="1" t="n"/>
      <c r="IE57" s="1" t="n"/>
      <c r="IF57" s="1" t="n"/>
      <c r="IG57" s="1" t="n"/>
      <c r="IH57" s="1" t="n"/>
      <c r="II57" s="1" t="n"/>
      <c r="IJ57" s="1" t="n"/>
      <c r="IK57" s="1" t="n"/>
      <c r="IL57" s="1" t="n"/>
      <c r="IM57" s="1" t="n"/>
      <c r="IN57" s="1" t="n"/>
      <c r="IO57" s="1" t="n"/>
      <c r="IP57" s="1" t="n"/>
      <c r="IQ57" s="1" t="n"/>
      <c r="IR57" s="1" t="n"/>
      <c r="IS57" s="1" t="n"/>
      <c r="IT57" s="1" t="n"/>
      <c r="IU57" s="1" t="n"/>
      <c r="IV57" s="1" t="n"/>
      <c r="IW57" s="1" t="n"/>
    </row>
    <row r="58">
      <c r="A58" s="155" t="inlineStr">
        <is>
          <t>C/N: of 21</t>
        </is>
      </c>
      <c r="B58" s="31" t="n"/>
      <c r="C58" s="31" t="n"/>
      <c r="D58" s="170" t="n"/>
      <c r="E58" s="170" t="n"/>
      <c r="F58" s="54" t="n"/>
      <c r="G58" s="31" t="n"/>
      <c r="H58" s="31" t="n"/>
      <c r="I58" s="31" t="n"/>
      <c r="J58" s="31" t="n"/>
      <c r="K58" s="31" t="n"/>
      <c r="L58" s="3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  <c r="BI58" s="1" t="n"/>
      <c r="BJ58" s="1" t="n"/>
      <c r="BK58" s="1" t="n"/>
      <c r="BL58" s="1" t="n"/>
      <c r="BM58" s="1" t="n"/>
      <c r="BN58" s="1" t="n"/>
      <c r="BO58" s="1" t="n"/>
      <c r="BP58" s="1" t="n"/>
      <c r="BQ58" s="1" t="n"/>
      <c r="BR58" s="1" t="n"/>
      <c r="BS58" s="1" t="n"/>
      <c r="BT58" s="1" t="n"/>
      <c r="BU58" s="1" t="n"/>
      <c r="BV58" s="1" t="n"/>
      <c r="BW58" s="1" t="n"/>
      <c r="BX58" s="1" t="n"/>
      <c r="BY58" s="1" t="n"/>
      <c r="BZ58" s="1" t="n"/>
      <c r="CA58" s="1" t="n"/>
      <c r="CB58" s="1" t="n"/>
      <c r="CC58" s="1" t="n"/>
      <c r="CD58" s="1" t="n"/>
      <c r="CE58" s="1" t="n"/>
      <c r="CF58" s="1" t="n"/>
      <c r="CG58" s="1" t="n"/>
      <c r="CH58" s="1" t="n"/>
      <c r="CI58" s="1" t="n"/>
      <c r="CJ58" s="1" t="n"/>
      <c r="CK58" s="1" t="n"/>
      <c r="CL58" s="1" t="n"/>
      <c r="CM58" s="1" t="n"/>
      <c r="CN58" s="1" t="n"/>
      <c r="CO58" s="1" t="n"/>
      <c r="CP58" s="1" t="n"/>
      <c r="CQ58" s="1" t="n"/>
      <c r="CR58" s="1" t="n"/>
      <c r="CS58" s="1" t="n"/>
      <c r="CT58" s="1" t="n"/>
      <c r="CU58" s="1" t="n"/>
      <c r="CV58" s="1" t="n"/>
      <c r="CW58" s="1" t="n"/>
      <c r="CX58" s="1" t="n"/>
      <c r="CY58" s="1" t="n"/>
      <c r="CZ58" s="1" t="n"/>
      <c r="DA58" s="1" t="n"/>
      <c r="DB58" s="1" t="n"/>
      <c r="DC58" s="1" t="n"/>
      <c r="DD58" s="1" t="n"/>
      <c r="DE58" s="1" t="n"/>
      <c r="DF58" s="1" t="n"/>
      <c r="DG58" s="1" t="n"/>
      <c r="DH58" s="1" t="n"/>
      <c r="DI58" s="1" t="n"/>
      <c r="DJ58" s="1" t="n"/>
      <c r="DK58" s="1" t="n"/>
      <c r="DL58" s="1" t="n"/>
      <c r="DM58" s="1" t="n"/>
      <c r="DN58" s="1" t="n"/>
      <c r="DO58" s="1" t="n"/>
      <c r="DP58" s="1" t="n"/>
      <c r="DQ58" s="1" t="n"/>
      <c r="DR58" s="1" t="n"/>
      <c r="DS58" s="1" t="n"/>
      <c r="DT58" s="1" t="n"/>
      <c r="DU58" s="1" t="n"/>
      <c r="DV58" s="1" t="n"/>
      <c r="DW58" s="1" t="n"/>
      <c r="DX58" s="1" t="n"/>
      <c r="DY58" s="1" t="n"/>
      <c r="DZ58" s="1" t="n"/>
      <c r="EA58" s="1" t="n"/>
      <c r="EB58" s="1" t="n"/>
      <c r="EC58" s="1" t="n"/>
      <c r="ED58" s="1" t="n"/>
      <c r="EE58" s="1" t="n"/>
      <c r="EF58" s="1" t="n"/>
      <c r="EG58" s="1" t="n"/>
      <c r="EH58" s="1" t="n"/>
      <c r="EI58" s="1" t="n"/>
      <c r="EJ58" s="1" t="n"/>
      <c r="EK58" s="1" t="n"/>
      <c r="EL58" s="1" t="n"/>
      <c r="EM58" s="1" t="n"/>
      <c r="EN58" s="1" t="n"/>
      <c r="EO58" s="1" t="n"/>
      <c r="EP58" s="1" t="n"/>
      <c r="EQ58" s="1" t="n"/>
      <c r="ER58" s="1" t="n"/>
      <c r="ES58" s="1" t="n"/>
      <c r="ET58" s="1" t="n"/>
      <c r="EU58" s="1" t="n"/>
      <c r="EV58" s="1" t="n"/>
      <c r="EW58" s="1" t="n"/>
      <c r="EX58" s="1" t="n"/>
      <c r="EY58" s="1" t="n"/>
      <c r="EZ58" s="1" t="n"/>
      <c r="FA58" s="1" t="n"/>
      <c r="FB58" s="1" t="n"/>
      <c r="FC58" s="1" t="n"/>
      <c r="FD58" s="1" t="n"/>
      <c r="FE58" s="1" t="n"/>
      <c r="FF58" s="1" t="n"/>
      <c r="FG58" s="1" t="n"/>
      <c r="FH58" s="1" t="n"/>
      <c r="FI58" s="1" t="n"/>
      <c r="FJ58" s="1" t="n"/>
      <c r="FK58" s="1" t="n"/>
      <c r="FL58" s="1" t="n"/>
      <c r="FM58" s="1" t="n"/>
      <c r="FN58" s="1" t="n"/>
      <c r="FO58" s="1" t="n"/>
      <c r="FP58" s="1" t="n"/>
      <c r="FQ58" s="1" t="n"/>
      <c r="FR58" s="1" t="n"/>
      <c r="FS58" s="1" t="n"/>
      <c r="FT58" s="1" t="n"/>
      <c r="FU58" s="1" t="n"/>
      <c r="FV58" s="1" t="n"/>
      <c r="FW58" s="1" t="n"/>
      <c r="FX58" s="1" t="n"/>
      <c r="FY58" s="1" t="n"/>
      <c r="FZ58" s="1" t="n"/>
      <c r="GA58" s="1" t="n"/>
      <c r="GB58" s="1" t="n"/>
      <c r="GC58" s="1" t="n"/>
      <c r="GD58" s="1" t="n"/>
      <c r="GE58" s="1" t="n"/>
      <c r="GF58" s="1" t="n"/>
      <c r="GG58" s="1" t="n"/>
      <c r="GH58" s="1" t="n"/>
      <c r="GI58" s="1" t="n"/>
      <c r="GJ58" s="1" t="n"/>
      <c r="GK58" s="1" t="n"/>
      <c r="GL58" s="1" t="n"/>
      <c r="GM58" s="1" t="n"/>
      <c r="GN58" s="1" t="n"/>
      <c r="GO58" s="1" t="n"/>
      <c r="GP58" s="1" t="n"/>
      <c r="GQ58" s="1" t="n"/>
      <c r="GR58" s="1" t="n"/>
      <c r="GS58" s="1" t="n"/>
      <c r="GT58" s="1" t="n"/>
      <c r="GU58" s="1" t="n"/>
      <c r="GV58" s="1" t="n"/>
      <c r="GW58" s="1" t="n"/>
      <c r="GX58" s="1" t="n"/>
      <c r="GY58" s="1" t="n"/>
      <c r="GZ58" s="1" t="n"/>
      <c r="HA58" s="1" t="n"/>
      <c r="HB58" s="1" t="n"/>
      <c r="HC58" s="1" t="n"/>
      <c r="HD58" s="1" t="n"/>
      <c r="HE58" s="1" t="n"/>
      <c r="HF58" s="1" t="n"/>
      <c r="HG58" s="1" t="n"/>
      <c r="HH58" s="1" t="n"/>
      <c r="HI58" s="1" t="n"/>
      <c r="HJ58" s="1" t="n"/>
      <c r="HK58" s="1" t="n"/>
      <c r="HL58" s="1" t="n"/>
      <c r="HM58" s="1" t="n"/>
      <c r="HN58" s="1" t="n"/>
      <c r="HO58" s="1" t="n"/>
      <c r="HP58" s="1" t="n"/>
      <c r="HQ58" s="1" t="n"/>
      <c r="HR58" s="1" t="n"/>
      <c r="HS58" s="1" t="n"/>
      <c r="HT58" s="1" t="n"/>
      <c r="HU58" s="1" t="n"/>
      <c r="HV58" s="1" t="n"/>
      <c r="HW58" s="1" t="n"/>
      <c r="HX58" s="1" t="n"/>
      <c r="HY58" s="1" t="n"/>
      <c r="HZ58" s="1" t="n"/>
      <c r="IA58" s="1" t="n"/>
      <c r="IB58" s="1" t="n"/>
      <c r="IC58" s="1" t="n"/>
      <c r="ID58" s="1" t="n"/>
      <c r="IE58" s="1" t="n"/>
      <c r="IF58" s="1" t="n"/>
      <c r="IG58" s="1" t="n"/>
      <c r="IH58" s="1" t="n"/>
      <c r="II58" s="1" t="n"/>
      <c r="IJ58" s="1" t="n"/>
      <c r="IK58" s="1" t="n"/>
      <c r="IL58" s="1" t="n"/>
      <c r="IM58" s="1" t="n"/>
      <c r="IN58" s="1" t="n"/>
      <c r="IO58" s="1" t="n"/>
      <c r="IP58" s="1" t="n"/>
      <c r="IQ58" s="1" t="n"/>
      <c r="IR58" s="1" t="n"/>
      <c r="IS58" s="1" t="n"/>
      <c r="IT58" s="1" t="n"/>
      <c r="IU58" s="1" t="n"/>
      <c r="IV58" s="1" t="n"/>
      <c r="IW58" s="1" t="n"/>
    </row>
    <row r="59">
      <c r="A59" s="155" t="inlineStr">
        <is>
          <t>Qty: 48 pcs</t>
        </is>
      </c>
      <c r="B59" s="31" t="n"/>
      <c r="C59" s="31" t="n"/>
      <c r="D59" s="170" t="n"/>
      <c r="E59" s="170" t="n"/>
      <c r="F59" s="54" t="n"/>
      <c r="G59" s="31" t="n"/>
      <c r="H59" s="31" t="n"/>
      <c r="I59" s="31" t="n"/>
      <c r="J59" s="31" t="n"/>
      <c r="K59" s="31" t="n"/>
      <c r="L59" s="3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  <c r="BI59" s="1" t="n"/>
      <c r="BJ59" s="1" t="n"/>
      <c r="BK59" s="1" t="n"/>
      <c r="BL59" s="1" t="n"/>
      <c r="BM59" s="1" t="n"/>
      <c r="BN59" s="1" t="n"/>
      <c r="BO59" s="1" t="n"/>
      <c r="BP59" s="1" t="n"/>
      <c r="BQ59" s="1" t="n"/>
      <c r="BR59" s="1" t="n"/>
      <c r="BS59" s="1" t="n"/>
      <c r="BT59" s="1" t="n"/>
      <c r="BU59" s="1" t="n"/>
      <c r="BV59" s="1" t="n"/>
      <c r="BW59" s="1" t="n"/>
      <c r="BX59" s="1" t="n"/>
      <c r="BY59" s="1" t="n"/>
      <c r="BZ59" s="1" t="n"/>
      <c r="CA59" s="1" t="n"/>
      <c r="CB59" s="1" t="n"/>
      <c r="CC59" s="1" t="n"/>
      <c r="CD59" s="1" t="n"/>
      <c r="CE59" s="1" t="n"/>
      <c r="CF59" s="1" t="n"/>
      <c r="CG59" s="1" t="n"/>
      <c r="CH59" s="1" t="n"/>
      <c r="CI59" s="1" t="n"/>
      <c r="CJ59" s="1" t="n"/>
      <c r="CK59" s="1" t="n"/>
      <c r="CL59" s="1" t="n"/>
      <c r="CM59" s="1" t="n"/>
      <c r="CN59" s="1" t="n"/>
      <c r="CO59" s="1" t="n"/>
      <c r="CP59" s="1" t="n"/>
      <c r="CQ59" s="1" t="n"/>
      <c r="CR59" s="1" t="n"/>
      <c r="CS59" s="1" t="n"/>
      <c r="CT59" s="1" t="n"/>
      <c r="CU59" s="1" t="n"/>
      <c r="CV59" s="1" t="n"/>
      <c r="CW59" s="1" t="n"/>
      <c r="CX59" s="1" t="n"/>
      <c r="CY59" s="1" t="n"/>
      <c r="CZ59" s="1" t="n"/>
      <c r="DA59" s="1" t="n"/>
      <c r="DB59" s="1" t="n"/>
      <c r="DC59" s="1" t="n"/>
      <c r="DD59" s="1" t="n"/>
      <c r="DE59" s="1" t="n"/>
      <c r="DF59" s="1" t="n"/>
      <c r="DG59" s="1" t="n"/>
      <c r="DH59" s="1" t="n"/>
      <c r="DI59" s="1" t="n"/>
      <c r="DJ59" s="1" t="n"/>
      <c r="DK59" s="1" t="n"/>
      <c r="DL59" s="1" t="n"/>
      <c r="DM59" s="1" t="n"/>
      <c r="DN59" s="1" t="n"/>
      <c r="DO59" s="1" t="n"/>
      <c r="DP59" s="1" t="n"/>
      <c r="DQ59" s="1" t="n"/>
      <c r="DR59" s="1" t="n"/>
      <c r="DS59" s="1" t="n"/>
      <c r="DT59" s="1" t="n"/>
      <c r="DU59" s="1" t="n"/>
      <c r="DV59" s="1" t="n"/>
      <c r="DW59" s="1" t="n"/>
      <c r="DX59" s="1" t="n"/>
      <c r="DY59" s="1" t="n"/>
      <c r="DZ59" s="1" t="n"/>
      <c r="EA59" s="1" t="n"/>
      <c r="EB59" s="1" t="n"/>
      <c r="EC59" s="1" t="n"/>
      <c r="ED59" s="1" t="n"/>
      <c r="EE59" s="1" t="n"/>
      <c r="EF59" s="1" t="n"/>
      <c r="EG59" s="1" t="n"/>
      <c r="EH59" s="1" t="n"/>
      <c r="EI59" s="1" t="n"/>
      <c r="EJ59" s="1" t="n"/>
      <c r="EK59" s="1" t="n"/>
      <c r="EL59" s="1" t="n"/>
      <c r="EM59" s="1" t="n"/>
      <c r="EN59" s="1" t="n"/>
      <c r="EO59" s="1" t="n"/>
      <c r="EP59" s="1" t="n"/>
      <c r="EQ59" s="1" t="n"/>
      <c r="ER59" s="1" t="n"/>
      <c r="ES59" s="1" t="n"/>
      <c r="ET59" s="1" t="n"/>
      <c r="EU59" s="1" t="n"/>
      <c r="EV59" s="1" t="n"/>
      <c r="EW59" s="1" t="n"/>
      <c r="EX59" s="1" t="n"/>
      <c r="EY59" s="1" t="n"/>
      <c r="EZ59" s="1" t="n"/>
      <c r="FA59" s="1" t="n"/>
      <c r="FB59" s="1" t="n"/>
      <c r="FC59" s="1" t="n"/>
      <c r="FD59" s="1" t="n"/>
      <c r="FE59" s="1" t="n"/>
      <c r="FF59" s="1" t="n"/>
      <c r="FG59" s="1" t="n"/>
      <c r="FH59" s="1" t="n"/>
      <c r="FI59" s="1" t="n"/>
      <c r="FJ59" s="1" t="n"/>
      <c r="FK59" s="1" t="n"/>
      <c r="FL59" s="1" t="n"/>
      <c r="FM59" s="1" t="n"/>
      <c r="FN59" s="1" t="n"/>
      <c r="FO59" s="1" t="n"/>
      <c r="FP59" s="1" t="n"/>
      <c r="FQ59" s="1" t="n"/>
      <c r="FR59" s="1" t="n"/>
      <c r="FS59" s="1" t="n"/>
      <c r="FT59" s="1" t="n"/>
      <c r="FU59" s="1" t="n"/>
      <c r="FV59" s="1" t="n"/>
      <c r="FW59" s="1" t="n"/>
      <c r="FX59" s="1" t="n"/>
      <c r="FY59" s="1" t="n"/>
      <c r="FZ59" s="1" t="n"/>
      <c r="GA59" s="1" t="n"/>
      <c r="GB59" s="1" t="n"/>
      <c r="GC59" s="1" t="n"/>
      <c r="GD59" s="1" t="n"/>
      <c r="GE59" s="1" t="n"/>
      <c r="GF59" s="1" t="n"/>
      <c r="GG59" s="1" t="n"/>
      <c r="GH59" s="1" t="n"/>
      <c r="GI59" s="1" t="n"/>
      <c r="GJ59" s="1" t="n"/>
      <c r="GK59" s="1" t="n"/>
      <c r="GL59" s="1" t="n"/>
      <c r="GM59" s="1" t="n"/>
      <c r="GN59" s="1" t="n"/>
      <c r="GO59" s="1" t="n"/>
      <c r="GP59" s="1" t="n"/>
      <c r="GQ59" s="1" t="n"/>
      <c r="GR59" s="1" t="n"/>
      <c r="GS59" s="1" t="n"/>
      <c r="GT59" s="1" t="n"/>
      <c r="GU59" s="1" t="n"/>
      <c r="GV59" s="1" t="n"/>
      <c r="GW59" s="1" t="n"/>
      <c r="GX59" s="1" t="n"/>
      <c r="GY59" s="1" t="n"/>
      <c r="GZ59" s="1" t="n"/>
      <c r="HA59" s="1" t="n"/>
      <c r="HB59" s="1" t="n"/>
      <c r="HC59" s="1" t="n"/>
      <c r="HD59" s="1" t="n"/>
      <c r="HE59" s="1" t="n"/>
      <c r="HF59" s="1" t="n"/>
      <c r="HG59" s="1" t="n"/>
      <c r="HH59" s="1" t="n"/>
      <c r="HI59" s="1" t="n"/>
      <c r="HJ59" s="1" t="n"/>
      <c r="HK59" s="1" t="n"/>
      <c r="HL59" s="1" t="n"/>
      <c r="HM59" s="1" t="n"/>
      <c r="HN59" s="1" t="n"/>
      <c r="HO59" s="1" t="n"/>
      <c r="HP59" s="1" t="n"/>
      <c r="HQ59" s="1" t="n"/>
      <c r="HR59" s="1" t="n"/>
      <c r="HS59" s="1" t="n"/>
      <c r="HT59" s="1" t="n"/>
      <c r="HU59" s="1" t="n"/>
      <c r="HV59" s="1" t="n"/>
      <c r="HW59" s="1" t="n"/>
      <c r="HX59" s="1" t="n"/>
      <c r="HY59" s="1" t="n"/>
      <c r="HZ59" s="1" t="n"/>
      <c r="IA59" s="1" t="n"/>
      <c r="IB59" s="1" t="n"/>
      <c r="IC59" s="1" t="n"/>
      <c r="ID59" s="1" t="n"/>
      <c r="IE59" s="1" t="n"/>
      <c r="IF59" s="1" t="n"/>
      <c r="IG59" s="1" t="n"/>
      <c r="IH59" s="1" t="n"/>
      <c r="II59" s="1" t="n"/>
      <c r="IJ59" s="1" t="n"/>
      <c r="IK59" s="1" t="n"/>
      <c r="IL59" s="1" t="n"/>
      <c r="IM59" s="1" t="n"/>
      <c r="IN59" s="1" t="n"/>
      <c r="IO59" s="1" t="n"/>
      <c r="IP59" s="1" t="n"/>
      <c r="IQ59" s="1" t="n"/>
      <c r="IR59" s="1" t="n"/>
      <c r="IS59" s="1" t="n"/>
      <c r="IT59" s="1" t="n"/>
      <c r="IU59" s="1" t="n"/>
      <c r="IV59" s="1" t="n"/>
      <c r="IW59" s="1" t="n"/>
    </row>
    <row r="60">
      <c r="A60" s="155" t="inlineStr">
        <is>
          <t>N. W.: 3.2 kg 7.05 lbs</t>
        </is>
      </c>
      <c r="B60" s="1" t="n"/>
      <c r="C60" s="1" t="n"/>
      <c r="D60" s="166" t="n"/>
      <c r="E60" s="166" t="n"/>
      <c r="F60" s="111" t="n"/>
      <c r="G60" s="1" t="n"/>
      <c r="H60" s="1" t="n"/>
      <c r="I60" s="1" t="n"/>
      <c r="J60" s="1" t="n"/>
      <c r="K60" s="1" t="n"/>
      <c r="L60" s="167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  <c r="BI60" s="1" t="n"/>
      <c r="BJ60" s="1" t="n"/>
      <c r="BK60" s="1" t="n"/>
      <c r="BL60" s="1" t="n"/>
      <c r="BM60" s="1" t="n"/>
      <c r="BN60" s="1" t="n"/>
      <c r="BO60" s="1" t="n"/>
      <c r="BP60" s="1" t="n"/>
      <c r="BQ60" s="1" t="n"/>
      <c r="BR60" s="1" t="n"/>
      <c r="BS60" s="1" t="n"/>
      <c r="BT60" s="1" t="n"/>
      <c r="BU60" s="1" t="n"/>
      <c r="BV60" s="1" t="n"/>
      <c r="BW60" s="1" t="n"/>
      <c r="BX60" s="1" t="n"/>
      <c r="BY60" s="1" t="n"/>
      <c r="BZ60" s="1" t="n"/>
      <c r="CA60" s="1" t="n"/>
      <c r="CB60" s="1" t="n"/>
      <c r="CC60" s="1" t="n"/>
      <c r="CD60" s="1" t="n"/>
      <c r="CE60" s="1" t="n"/>
      <c r="CF60" s="1" t="n"/>
      <c r="CG60" s="1" t="n"/>
      <c r="CH60" s="1" t="n"/>
      <c r="CI60" s="1" t="n"/>
      <c r="CJ60" s="1" t="n"/>
      <c r="CK60" s="1" t="n"/>
      <c r="CL60" s="1" t="n"/>
      <c r="CM60" s="1" t="n"/>
      <c r="CN60" s="1" t="n"/>
      <c r="CO60" s="1" t="n"/>
      <c r="CP60" s="1" t="n"/>
      <c r="CQ60" s="1" t="n"/>
      <c r="CR60" s="1" t="n"/>
      <c r="CS60" s="1" t="n"/>
      <c r="CT60" s="1" t="n"/>
      <c r="CU60" s="1" t="n"/>
      <c r="CV60" s="1" t="n"/>
      <c r="CW60" s="1" t="n"/>
      <c r="CX60" s="1" t="n"/>
      <c r="CY60" s="1" t="n"/>
      <c r="CZ60" s="1" t="n"/>
      <c r="DA60" s="1" t="n"/>
      <c r="DB60" s="1" t="n"/>
      <c r="DC60" s="1" t="n"/>
      <c r="DD60" s="1" t="n"/>
      <c r="DE60" s="1" t="n"/>
      <c r="DF60" s="1" t="n"/>
      <c r="DG60" s="1" t="n"/>
      <c r="DH60" s="1" t="n"/>
      <c r="DI60" s="1" t="n"/>
      <c r="DJ60" s="1" t="n"/>
      <c r="DK60" s="1" t="n"/>
      <c r="DL60" s="1" t="n"/>
      <c r="DM60" s="1" t="n"/>
      <c r="DN60" s="1" t="n"/>
      <c r="DO60" s="1" t="n"/>
      <c r="DP60" s="1" t="n"/>
      <c r="DQ60" s="1" t="n"/>
      <c r="DR60" s="1" t="n"/>
      <c r="DS60" s="1" t="n"/>
      <c r="DT60" s="1" t="n"/>
      <c r="DU60" s="1" t="n"/>
      <c r="DV60" s="1" t="n"/>
      <c r="DW60" s="1" t="n"/>
      <c r="DX60" s="1" t="n"/>
      <c r="DY60" s="1" t="n"/>
      <c r="DZ60" s="1" t="n"/>
      <c r="EA60" s="1" t="n"/>
      <c r="EB60" s="1" t="n"/>
      <c r="EC60" s="1" t="n"/>
      <c r="ED60" s="1" t="n"/>
      <c r="EE60" s="1" t="n"/>
      <c r="EF60" s="1" t="n"/>
      <c r="EG60" s="1" t="n"/>
      <c r="EH60" s="1" t="n"/>
      <c r="EI60" s="1" t="n"/>
      <c r="EJ60" s="1" t="n"/>
      <c r="EK60" s="1" t="n"/>
      <c r="EL60" s="1" t="n"/>
      <c r="EM60" s="1" t="n"/>
      <c r="EN60" s="1" t="n"/>
      <c r="EO60" s="1" t="n"/>
      <c r="EP60" s="1" t="n"/>
      <c r="EQ60" s="1" t="n"/>
      <c r="ER60" s="1" t="n"/>
      <c r="ES60" s="1" t="n"/>
      <c r="ET60" s="1" t="n"/>
      <c r="EU60" s="1" t="n"/>
      <c r="EV60" s="1" t="n"/>
      <c r="EW60" s="1" t="n"/>
      <c r="EX60" s="1" t="n"/>
      <c r="EY60" s="1" t="n"/>
      <c r="EZ60" s="1" t="n"/>
      <c r="FA60" s="1" t="n"/>
      <c r="FB60" s="1" t="n"/>
      <c r="FC60" s="1" t="n"/>
      <c r="FD60" s="1" t="n"/>
      <c r="FE60" s="1" t="n"/>
      <c r="FF60" s="1" t="n"/>
      <c r="FG60" s="1" t="n"/>
      <c r="FH60" s="1" t="n"/>
      <c r="FI60" s="1" t="n"/>
      <c r="FJ60" s="1" t="n"/>
      <c r="FK60" s="1" t="n"/>
      <c r="FL60" s="1" t="n"/>
      <c r="FM60" s="1" t="n"/>
      <c r="FN60" s="1" t="n"/>
      <c r="FO60" s="1" t="n"/>
      <c r="FP60" s="1" t="n"/>
      <c r="FQ60" s="1" t="n"/>
      <c r="FR60" s="1" t="n"/>
      <c r="FS60" s="1" t="n"/>
      <c r="FT60" s="1" t="n"/>
      <c r="FU60" s="1" t="n"/>
      <c r="FV60" s="1" t="n"/>
      <c r="FW60" s="1" t="n"/>
      <c r="FX60" s="1" t="n"/>
      <c r="FY60" s="1" t="n"/>
      <c r="FZ60" s="1" t="n"/>
      <c r="GA60" s="1" t="n"/>
      <c r="GB60" s="1" t="n"/>
      <c r="GC60" s="1" t="n"/>
      <c r="GD60" s="1" t="n"/>
      <c r="GE60" s="1" t="n"/>
      <c r="GF60" s="1" t="n"/>
      <c r="GG60" s="1" t="n"/>
      <c r="GH60" s="1" t="n"/>
      <c r="GI60" s="1" t="n"/>
      <c r="GJ60" s="1" t="n"/>
      <c r="GK60" s="1" t="n"/>
      <c r="GL60" s="1" t="n"/>
      <c r="GM60" s="1" t="n"/>
      <c r="GN60" s="1" t="n"/>
      <c r="GO60" s="1" t="n"/>
      <c r="GP60" s="1" t="n"/>
      <c r="GQ60" s="1" t="n"/>
      <c r="GR60" s="1" t="n"/>
      <c r="GS60" s="1" t="n"/>
      <c r="GT60" s="1" t="n"/>
      <c r="GU60" s="1" t="n"/>
      <c r="GV60" s="1" t="n"/>
      <c r="GW60" s="1" t="n"/>
      <c r="GX60" s="1" t="n"/>
      <c r="GY60" s="1" t="n"/>
      <c r="GZ60" s="1" t="n"/>
      <c r="HA60" s="1" t="n"/>
      <c r="HB60" s="1" t="n"/>
      <c r="HC60" s="1" t="n"/>
      <c r="HD60" s="1" t="n"/>
      <c r="HE60" s="1" t="n"/>
      <c r="HF60" s="1" t="n"/>
      <c r="HG60" s="1" t="n"/>
      <c r="HH60" s="1" t="n"/>
      <c r="HI60" s="1" t="n"/>
      <c r="HJ60" s="1" t="n"/>
      <c r="HK60" s="1" t="n"/>
      <c r="HL60" s="1" t="n"/>
      <c r="HM60" s="1" t="n"/>
      <c r="HN60" s="1" t="n"/>
      <c r="HO60" s="1" t="n"/>
      <c r="HP60" s="1" t="n"/>
      <c r="HQ60" s="1" t="n"/>
      <c r="HR60" s="1" t="n"/>
      <c r="HS60" s="1" t="n"/>
      <c r="HT60" s="1" t="n"/>
      <c r="HU60" s="1" t="n"/>
      <c r="HV60" s="1" t="n"/>
      <c r="HW60" s="1" t="n"/>
      <c r="HX60" s="1" t="n"/>
      <c r="HY60" s="1" t="n"/>
      <c r="HZ60" s="1" t="n"/>
      <c r="IA60" s="1" t="n"/>
      <c r="IB60" s="1" t="n"/>
      <c r="IC60" s="1" t="n"/>
      <c r="ID60" s="1" t="n"/>
      <c r="IE60" s="1" t="n"/>
      <c r="IF60" s="1" t="n"/>
      <c r="IG60" s="1" t="n"/>
      <c r="IH60" s="1" t="n"/>
      <c r="II60" s="1" t="n"/>
      <c r="IJ60" s="1" t="n"/>
      <c r="IK60" s="1" t="n"/>
      <c r="IL60" s="1" t="n"/>
      <c r="IM60" s="1" t="n"/>
      <c r="IN60" s="1" t="n"/>
      <c r="IO60" s="1" t="n"/>
      <c r="IP60" s="1" t="n"/>
      <c r="IQ60" s="1" t="n"/>
      <c r="IR60" s="1" t="n"/>
      <c r="IS60" s="1" t="n"/>
      <c r="IT60" s="1" t="n"/>
      <c r="IU60" s="1" t="n"/>
      <c r="IV60" s="1" t="n"/>
      <c r="IW60" s="1" t="n"/>
    </row>
    <row r="61">
      <c r="A61" s="158" t="inlineStr">
        <is>
          <t>G. W.: 7.9 kg 17.42 lbs</t>
        </is>
      </c>
    </row>
    <row r="62">
      <c r="A62" s="158" t="inlineStr">
        <is>
          <t>Dims (WDH): 472 X 405 X 402 mm</t>
        </is>
      </c>
    </row>
    <row r="63">
      <c r="A63" s="158" t="inlineStr">
        <is>
          <t>(WDH): 18.6 X 15.9 X 15 incles</t>
        </is>
      </c>
    </row>
    <row r="64">
      <c r="A64" s="158" t="inlineStr">
        <is>
          <t>Made in Vietnam</t>
        </is>
      </c>
    </row>
    <row r="65">
      <c r="A65" s="158" t="inlineStr">
        <is>
          <t>*** GOODS ROHS COMPLIANT***</t>
        </is>
      </c>
    </row>
    <row r="67">
      <c r="A67" s="158" t="inlineStr">
        <is>
          <t>Part Number: 0266MPLTMSHD-BP0</t>
        </is>
      </c>
    </row>
    <row r="68">
      <c r="A68" s="158" t="inlineStr">
        <is>
          <t>PO#: 163130</t>
        </is>
      </c>
    </row>
    <row r="69">
      <c r="A69" s="158" t="inlineStr">
        <is>
          <t>Date Code: 待確認</t>
        </is>
      </c>
    </row>
    <row r="70">
      <c r="A70" s="158" t="inlineStr">
        <is>
          <t>C/N: of 2</t>
        </is>
      </c>
    </row>
    <row r="71">
      <c r="A71" s="158" t="inlineStr">
        <is>
          <t>Qty: 600 pcs</t>
        </is>
      </c>
    </row>
    <row r="72">
      <c r="A72" s="158" t="inlineStr">
        <is>
          <t>N. W.: 5.3 kg 11.68 lbs</t>
        </is>
      </c>
    </row>
    <row r="73">
      <c r="A73" s="158" t="inlineStr">
        <is>
          <t>G. W.: 8.5 kg 18.74 lbs</t>
        </is>
      </c>
    </row>
    <row r="74">
      <c r="A74" s="158" t="inlineStr">
        <is>
          <t>Dims (WDH): 355 x 255 x 265 mm</t>
        </is>
      </c>
    </row>
    <row r="75">
      <c r="A75" s="158" t="inlineStr">
        <is>
          <t>(WDH): 13.9 x 10 x 10.4 inches</t>
        </is>
      </c>
    </row>
    <row r="76">
      <c r="A76" s="158" t="inlineStr">
        <is>
          <t>Made in Vietnam</t>
        </is>
      </c>
    </row>
    <row r="77">
      <c r="A77" s="158" t="inlineStr">
        <is>
          <t>*** GOODS ROHS COMPLIANT***</t>
        </is>
      </c>
    </row>
    <row r="79">
      <c r="A79" s="158" t="inlineStr">
        <is>
          <t>Part Number: 0266UHCUP2M-SP1</t>
        </is>
      </c>
    </row>
    <row r="80">
      <c r="A80" s="158" t="inlineStr">
        <is>
          <t>PO#: 163130</t>
        </is>
      </c>
    </row>
    <row r="81">
      <c r="A81" s="158" t="inlineStr">
        <is>
          <t>Date Code: 待確認</t>
        </is>
      </c>
    </row>
    <row r="82">
      <c r="A82" s="158" t="inlineStr">
        <is>
          <t>C/N: of 42</t>
        </is>
      </c>
    </row>
    <row r="83">
      <c r="A83" s="158" t="inlineStr">
        <is>
          <t>Qty: 24 pcs</t>
        </is>
      </c>
    </row>
    <row r="84">
      <c r="A84" s="158" t="inlineStr">
        <is>
          <t>N. W.: 5.0 kg 11.02 lbs</t>
        </is>
      </c>
    </row>
    <row r="85">
      <c r="A85" s="158" t="inlineStr">
        <is>
          <t>G. W.: 9.3 kg 20.5 lbs</t>
        </is>
      </c>
    </row>
    <row r="86">
      <c r="A86" s="158" t="inlineStr">
        <is>
          <t>Dims (WDH): 410 x 360 x 430 mm</t>
        </is>
      </c>
    </row>
    <row r="87">
      <c r="A87" s="158" t="inlineStr">
        <is>
          <t>(WDH): 16.1 x 14.2 x 16.9 inches</t>
        </is>
      </c>
    </row>
    <row r="88">
      <c r="A88" s="158" t="inlineStr">
        <is>
          <t>Made in Vietnam</t>
        </is>
      </c>
    </row>
    <row r="89">
      <c r="A89" s="158" t="inlineStr">
        <is>
          <t>*** GOODS ROHS COMPLIANT***</t>
        </is>
      </c>
    </row>
    <row r="90">
      <c r="A90" s="158" t="inlineStr">
        <is>
          <t>RFID</t>
        </is>
      </c>
    </row>
  </sheetData>
  <mergeCells count="6">
    <mergeCell ref="A2:L2"/>
    <mergeCell ref="A11:C11"/>
    <mergeCell ref="A1:L1"/>
    <mergeCell ref="A3:L3"/>
    <mergeCell ref="A26:C26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71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45DAYS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72" t="n">
        <v>10000</v>
      </c>
      <c r="E13" s="173" t="n">
        <v>3.469</v>
      </c>
      <c r="F13" s="174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72" t="n">
        <v>36000</v>
      </c>
      <c r="E14" s="173" t="n">
        <v>2.722</v>
      </c>
      <c r="F14" s="174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72" t="n">
        <v>6000</v>
      </c>
      <c r="E15" s="173" t="n">
        <v>3.96</v>
      </c>
      <c r="F15" s="174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8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5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6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7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7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7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8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2026-07-08T09:17:15Z</dcterms:modified>
  <cp:lastModifiedBy>陳惠卿 [ Lydia Chen ]</cp:lastModifiedBy>
  <cp:lastPrinted>2022-08-30T03:41:40Z</cp:lastPrinted>
</cp:coreProperties>
</file>