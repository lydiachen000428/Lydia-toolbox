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4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48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162000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2026-06-25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0</t>
        </is>
      </c>
      <c r="D12" s="130">
        <f>C12-A12+1</f>
        <v/>
      </c>
      <c r="E12" s="105" t="inlineStr">
        <is>
          <t>162000</t>
        </is>
      </c>
      <c r="F12" s="105" t="inlineStr">
        <is>
          <t>8SHD130031</t>
        </is>
      </c>
      <c r="G12" s="106" t="inlineStr">
        <is>
          <t>0266MAGFM-2PXCES0; MAGNETIC FLUSH MOUNT 2PK</t>
        </is>
      </c>
      <c r="H12" s="131" t="n">
        <v>100</v>
      </c>
      <c r="I12" s="131" t="inlineStr">
        <is>
          <t>41.5*40.3*30.5</t>
        </is>
      </c>
      <c r="J12" s="132">
        <f>41.5*40.3*30.5/1000000</f>
        <v/>
      </c>
      <c r="K12" s="133" t="n">
        <v>6.7</v>
      </c>
      <c r="L12" s="134" t="n">
        <v>13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40" t="inlineStr">
        <is>
          <t>0 CTNS</t>
        </is>
      </c>
      <c r="B14" s="141" t="n"/>
      <c r="C14" s="142" t="n"/>
      <c r="D14" s="143">
        <f>SUM(D12:D13)</f>
        <v/>
      </c>
      <c r="E14" s="16" t="n"/>
      <c r="F14" s="16" t="n"/>
      <c r="G14" s="17" t="inlineStr">
        <is>
          <t>TOTAL:</t>
        </is>
      </c>
      <c r="H14" s="144">
        <f>H13</f>
        <v/>
      </c>
      <c r="I14" s="144" t="n"/>
      <c r="J14" s="145">
        <f>J13</f>
        <v/>
      </c>
      <c r="K14" s="146">
        <f>K13</f>
        <v/>
      </c>
      <c r="L14" s="147">
        <f>L13</f>
        <v/>
      </c>
    </row>
    <row r="15" ht="20.15" customFormat="1" customHeight="1" s="1" thickTop="1">
      <c r="A15" s="22" t="inlineStr">
        <is>
          <t>REMARK:</t>
        </is>
      </c>
      <c r="B15" s="23" t="n"/>
      <c r="C15" s="85" t="inlineStr">
        <is>
          <t xml:space="preserve">TOTAL: 625 CTNS / 19.19 CBM / 2637.50 KG </t>
        </is>
      </c>
      <c r="D15" s="148" t="n"/>
      <c r="E15" s="148" t="n"/>
      <c r="F15" s="111" t="n"/>
      <c r="G15" s="25" t="n"/>
      <c r="H15" s="111" t="n"/>
      <c r="I15" s="111" t="n"/>
      <c r="J15" s="149" t="n"/>
      <c r="K15" s="150" t="n"/>
      <c r="L15" s="149" t="n"/>
    </row>
    <row r="16" ht="20.15" customFormat="1" customHeight="1" s="1">
      <c r="A16" s="28" t="n"/>
      <c r="B16" s="28" t="n"/>
      <c r="C16" s="29" t="n"/>
      <c r="D16" s="151" t="n"/>
      <c r="E16" s="151" t="n"/>
      <c r="F16" s="111" t="n"/>
      <c r="G16" s="31" t="n"/>
      <c r="H16" s="31" t="n"/>
      <c r="I16" s="31" t="n"/>
      <c r="J16" s="31" t="n"/>
      <c r="K16" s="31" t="n"/>
      <c r="L16" s="31" t="n"/>
      <c r="M16" s="32" t="n"/>
    </row>
    <row r="17" ht="20.15" customFormat="1" customHeight="1" s="1">
      <c r="A17" s="33" t="inlineStr">
        <is>
          <t xml:space="preserve">         **SHIPPING MARK**</t>
        </is>
      </c>
      <c r="B17" s="33" t="n"/>
      <c r="C17" s="33" t="n"/>
      <c r="D17" s="152" t="n"/>
      <c r="E17" s="152" t="n"/>
      <c r="F17" s="35" t="n"/>
      <c r="G17" s="36" t="n"/>
      <c r="H17" s="35" t="n"/>
      <c r="I17" s="35" t="n"/>
      <c r="J17" s="153" t="n"/>
      <c r="K17" s="154" t="n"/>
      <c r="L17" s="154" t="n"/>
      <c r="M17" s="39" t="n"/>
    </row>
    <row r="18" ht="20.15" customFormat="1" customHeight="1" s="1">
      <c r="A18" s="155" t="inlineStr">
        <is>
          <t>Part Number: 0266MAGFM-2PXCES0</t>
        </is>
      </c>
      <c r="C18" s="40" t="n"/>
      <c r="D18" s="156" t="n"/>
      <c r="E18" s="156" t="n"/>
      <c r="F18" s="35" t="n"/>
      <c r="L18" s="154" t="n"/>
    </row>
    <row r="19" ht="20.15" customFormat="1" customHeight="1" s="1">
      <c r="A19" s="155" t="inlineStr">
        <is>
          <t>PO#: 162000</t>
        </is>
      </c>
      <c r="C19" s="40" t="n"/>
      <c r="D19" s="156" t="n"/>
      <c r="E19" s="156" t="n"/>
      <c r="L19" s="154" t="n"/>
    </row>
    <row r="20" ht="20.15" customFormat="1" customHeight="1" s="1">
      <c r="A20" s="155" t="inlineStr">
        <is>
          <t>Date Code: 待確認</t>
        </is>
      </c>
      <c r="B20" s="33" t="n"/>
      <c r="C20" s="33" t="n"/>
      <c r="D20" s="152" t="n"/>
      <c r="E20" s="152" t="n"/>
      <c r="L20" s="154" t="n"/>
    </row>
    <row r="21" ht="15.5" customHeight="1">
      <c r="A21" s="155" t="inlineStr">
        <is>
          <t>C/N: of 0</t>
        </is>
      </c>
      <c r="B21" s="1" t="n"/>
      <c r="C21" s="40" t="n"/>
      <c r="D21" s="156" t="n"/>
      <c r="E21" s="156" t="n"/>
      <c r="F21" s="55" t="n"/>
      <c r="G21" s="1" t="n"/>
      <c r="H21" s="153" t="n"/>
      <c r="I21" s="1" t="n"/>
      <c r="J21" s="39" t="n"/>
      <c r="K21" s="39" t="n"/>
      <c r="L21" s="154" t="n"/>
      <c r="N21" s="1" t="n"/>
      <c r="O21" s="40" t="n"/>
      <c r="P21" s="156" t="n"/>
      <c r="Q21" s="35" t="n"/>
      <c r="R21" s="1" t="n"/>
      <c r="S21" s="1" t="n"/>
      <c r="U21" s="153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  <c r="IW21" s="1" t="n"/>
    </row>
    <row r="22" ht="15.5" customHeight="1">
      <c r="A22" s="155" t="inlineStr">
        <is>
          <t>Qty: 100 pcs</t>
        </is>
      </c>
      <c r="D22" s="55" t="n"/>
      <c r="E22" s="55" t="n"/>
      <c r="F22" s="55" t="n"/>
      <c r="G22" s="1" t="n"/>
      <c r="H22" s="1" t="n"/>
      <c r="I22" s="1" t="n"/>
      <c r="J22" s="153" t="n"/>
      <c r="K22" s="1" t="n"/>
      <c r="L22" s="154" t="n"/>
      <c r="N22" s="1" t="n"/>
      <c r="O22" s="40" t="n"/>
      <c r="P22" s="156" t="n"/>
      <c r="Q22" s="35" t="n"/>
      <c r="R22" s="1" t="n"/>
      <c r="S22" s="1" t="n"/>
      <c r="U22" s="153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</row>
    <row r="23" ht="20.15" customFormat="1" customHeight="1" s="1">
      <c r="A23" s="155" t="inlineStr">
        <is>
          <t>N. W.: 6.7 kg 14.77 lbs</t>
        </is>
      </c>
      <c r="C23" s="40" t="n"/>
      <c r="D23" s="156" t="n"/>
      <c r="E23" s="156" t="n"/>
      <c r="L23" s="154" t="n"/>
    </row>
    <row r="24" ht="20.15" customFormat="1" customHeight="1" s="1">
      <c r="A24" s="155" t="inlineStr">
        <is>
          <t>G. W.: 13.0 kg 28.66 lbs</t>
        </is>
      </c>
      <c r="C24" s="40" t="n"/>
      <c r="D24" s="156" t="n"/>
      <c r="E24" s="156" t="n"/>
      <c r="L24" s="154" t="n"/>
    </row>
    <row r="25" ht="20.15" customFormat="1" customHeight="1" s="1">
      <c r="A25" s="155" t="inlineStr">
        <is>
          <t>Dims (W DH): 415 x 403 x 305 m m</t>
        </is>
      </c>
      <c r="B25" s="33" t="n"/>
      <c r="C25" s="33" t="n"/>
      <c r="D25" s="152" t="n"/>
      <c r="E25" s="152" t="n"/>
      <c r="L25" s="154" t="n"/>
    </row>
    <row r="26" ht="15.5" customHeight="1">
      <c r="A26" s="155" t="inlineStr">
        <is>
          <t>(W DH): 16.3 x 15.9 x 12 inch es</t>
        </is>
      </c>
      <c r="B26" s="1" t="n"/>
      <c r="C26" s="40" t="n"/>
      <c r="D26" s="156" t="n"/>
      <c r="E26" s="156" t="n"/>
      <c r="F26" s="55" t="n"/>
      <c r="G26" s="1" t="n"/>
      <c r="H26" s="153" t="n"/>
      <c r="I26" s="1" t="n"/>
      <c r="J26" s="39" t="n"/>
      <c r="K26" s="39" t="n"/>
      <c r="L26" s="154" t="n"/>
      <c r="N26" s="1" t="n"/>
      <c r="O26" s="40" t="n"/>
      <c r="P26" s="156" t="n"/>
      <c r="Q26" s="35" t="n"/>
      <c r="R26" s="1" t="n"/>
      <c r="S26" s="1" t="n"/>
      <c r="U26" s="153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</row>
    <row r="27" ht="15.5" customHeight="1">
      <c r="A27" s="155" t="inlineStr">
        <is>
          <t>Made in Vietnam</t>
        </is>
      </c>
      <c r="D27" s="55" t="n"/>
      <c r="E27" s="55" t="n"/>
      <c r="F27" s="55" t="n"/>
      <c r="G27" s="1" t="n"/>
      <c r="H27" s="1" t="n"/>
      <c r="I27" s="1" t="n"/>
      <c r="J27" s="153" t="n"/>
      <c r="K27" s="1" t="n"/>
      <c r="L27" s="154" t="n"/>
      <c r="N27" s="1" t="n"/>
      <c r="O27" s="40" t="n"/>
      <c r="P27" s="156" t="n"/>
      <c r="Q27" s="35" t="n"/>
      <c r="R27" s="1" t="n"/>
      <c r="S27" s="1" t="n"/>
      <c r="U27" s="153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</row>
    <row r="28" ht="20.15" customFormat="1" customHeight="1" s="1">
      <c r="A28" s="155" t="inlineStr">
        <is>
          <t>*** GOODS ROHS COMPLIANT***</t>
        </is>
      </c>
      <c r="C28" s="40" t="n"/>
      <c r="D28" s="156" t="n"/>
      <c r="E28" s="156" t="n"/>
      <c r="L28" s="154" t="n"/>
    </row>
    <row r="29" ht="20.15" customFormat="1" customHeight="1" s="1">
      <c r="A29" s="65" t="inlineStr">
        <is>
          <t>RFID</t>
        </is>
      </c>
      <c r="C29" s="40" t="n"/>
      <c r="D29" s="156" t="n"/>
      <c r="E29" s="156" t="n"/>
      <c r="I29" s="157" t="n"/>
      <c r="L29" s="154" t="n"/>
    </row>
    <row r="30" ht="20.15" customFormat="1" customHeight="1" s="1">
      <c r="A30" s="65" t="n"/>
      <c r="C30" s="40" t="n"/>
      <c r="D30" s="156" t="n"/>
      <c r="E30" s="156" t="n"/>
      <c r="G30" s="157" t="n"/>
      <c r="I30" s="157" t="n"/>
      <c r="L30" s="154" t="n"/>
    </row>
    <row r="31" ht="20.15" customFormat="1" customHeight="1" s="1">
      <c r="A31" s="33" t="n"/>
      <c r="C31" s="40" t="n"/>
      <c r="D31" s="156" t="n"/>
      <c r="E31" s="156" t="n"/>
      <c r="I31" s="65" t="n"/>
      <c r="L31" s="154" t="n"/>
    </row>
    <row r="32" ht="20.15" customFormat="1" customHeight="1" s="1">
      <c r="A32" s="158" t="n"/>
      <c r="C32" s="40" t="n"/>
      <c r="D32" s="156" t="n"/>
      <c r="E32" s="156" t="n"/>
      <c r="I32" s="65" t="n"/>
      <c r="L32" s="154" t="n"/>
    </row>
    <row r="33" ht="20.15" customFormat="1" customHeight="1" s="1">
      <c r="A33" s="158" t="n"/>
      <c r="C33" s="40" t="n"/>
      <c r="D33" s="156" t="n"/>
      <c r="E33" s="156" t="n"/>
      <c r="I33" s="65" t="n"/>
      <c r="L33" s="154" t="n"/>
    </row>
    <row r="34" ht="20.15" customFormat="1" customHeight="1" s="1">
      <c r="A34" s="158" t="n"/>
      <c r="B34" s="33" t="n"/>
      <c r="C34" s="33" t="n"/>
      <c r="D34" s="152" t="n"/>
      <c r="E34" s="152" t="n"/>
      <c r="I34" s="65" t="n"/>
      <c r="L34" s="154" t="n"/>
    </row>
    <row r="35" ht="15.5" customHeight="1">
      <c r="A35" s="158" t="n"/>
      <c r="B35" s="1" t="n"/>
      <c r="C35" s="40" t="n"/>
      <c r="D35" s="156" t="n"/>
      <c r="E35" s="156" t="n"/>
      <c r="F35" s="35" t="n"/>
      <c r="G35" s="1" t="n"/>
      <c r="H35" s="1" t="n"/>
      <c r="I35" s="65" t="n"/>
      <c r="J35" s="39" t="n"/>
      <c r="K35" s="39" t="n"/>
      <c r="L35" s="154" t="n"/>
      <c r="N35" s="1" t="n"/>
      <c r="O35" s="40" t="n"/>
      <c r="P35" s="156" t="n"/>
      <c r="Q35" s="35" t="n"/>
      <c r="R35" s="1" t="n"/>
      <c r="S35" s="1" t="n"/>
      <c r="U35" s="153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</row>
    <row r="36" ht="15.5" customHeight="1">
      <c r="A36" s="33" t="n"/>
      <c r="D36" s="55" t="n"/>
      <c r="E36" s="55" t="n"/>
      <c r="F36" s="55" t="n"/>
      <c r="G36" s="1" t="n"/>
      <c r="H36" s="1" t="n"/>
      <c r="I36" s="65" t="n"/>
      <c r="J36" s="153" t="n"/>
      <c r="K36" s="1" t="n"/>
      <c r="L36" s="154" t="n"/>
      <c r="N36" s="1" t="n"/>
      <c r="O36" s="40" t="n"/>
      <c r="P36" s="156" t="n"/>
      <c r="Q36" s="35" t="n"/>
      <c r="R36" s="1" t="n"/>
      <c r="S36" s="1" t="n"/>
      <c r="U36" s="153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</row>
    <row r="37" ht="20.15" customFormat="1" customHeight="1" s="1">
      <c r="A37" s="33" t="n"/>
      <c r="C37" s="40" t="n"/>
      <c r="D37" s="156" t="n"/>
      <c r="E37" s="156" t="n"/>
      <c r="I37" s="65" t="n"/>
      <c r="L37" s="154" t="n"/>
    </row>
    <row r="38" ht="20.15" customFormat="1" customHeight="1" s="1">
      <c r="A38" s="33" t="n"/>
      <c r="C38" s="40" t="n"/>
      <c r="D38" s="156" t="n"/>
      <c r="E38" s="156" t="n"/>
      <c r="I38" s="65" t="n"/>
      <c r="L38" s="154" t="n"/>
    </row>
    <row r="39" ht="20.15" customFormat="1" customHeight="1" s="1">
      <c r="A39" s="158" t="n"/>
      <c r="C39" s="40" t="n"/>
      <c r="D39" s="156" t="n"/>
      <c r="E39" s="156" t="n"/>
      <c r="I39" s="65" t="n"/>
      <c r="L39" s="154" t="n"/>
    </row>
    <row r="40" ht="20.15" customFormat="1" customHeight="1" s="1">
      <c r="A40" s="158" t="n"/>
      <c r="C40" s="40" t="n"/>
      <c r="D40" s="156" t="n"/>
      <c r="E40" s="156" t="n"/>
      <c r="I40" s="65" t="n"/>
      <c r="L40" s="154" t="n"/>
    </row>
    <row r="41" ht="20.15" customFormat="1" customHeight="1" s="1">
      <c r="A41" s="158" t="n"/>
      <c r="C41" s="40" t="n"/>
      <c r="D41" s="156" t="n"/>
      <c r="E41" s="156" t="n"/>
      <c r="G41" s="158" t="n"/>
      <c r="I41" s="157" t="n"/>
      <c r="L41" s="154" t="n"/>
    </row>
    <row r="42" ht="16" customHeight="1" thickBot="1">
      <c r="A42" s="45" t="n"/>
      <c r="B42" s="44" t="n"/>
      <c r="C42" s="45" t="n"/>
      <c r="D42" s="159" t="n"/>
      <c r="E42" s="159" t="n"/>
      <c r="F42" s="47" t="n"/>
      <c r="G42" s="47" t="n"/>
      <c r="H42" s="43" t="n"/>
      <c r="I42" s="43" t="n"/>
      <c r="J42" s="48" t="n"/>
      <c r="K42" s="43" t="n"/>
      <c r="L42" s="160" t="n"/>
      <c r="N42" s="1" t="n"/>
      <c r="O42" s="40" t="n"/>
      <c r="P42" s="156" t="n"/>
      <c r="Q42" s="35" t="n"/>
      <c r="R42" s="1" t="n"/>
      <c r="S42" s="1" t="n"/>
      <c r="U42" s="153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</row>
    <row r="43" ht="16" customHeight="1" thickTop="1">
      <c r="A43" s="1" t="inlineStr">
        <is>
          <t>ISSUED BY:</t>
        </is>
      </c>
      <c r="B43" s="1" t="n"/>
      <c r="C43" s="1" t="n"/>
      <c r="D43" s="161" t="n"/>
      <c r="E43" s="161" t="n"/>
      <c r="F43" s="111" t="n"/>
      <c r="G43" s="1" t="n"/>
      <c r="H43" s="1" t="n"/>
      <c r="I43" s="1" t="n"/>
      <c r="J43" s="162" t="n"/>
      <c r="K43" s="163" t="n"/>
      <c r="L43" s="163" t="n"/>
      <c r="M43" s="158" t="n"/>
      <c r="N43" s="33" t="n"/>
      <c r="O43" s="33" t="n"/>
      <c r="P43" s="152" t="n"/>
      <c r="Q43" s="35" t="n"/>
      <c r="S43" s="1" t="n"/>
      <c r="T43" s="33" t="n"/>
      <c r="U43" s="153" t="n"/>
      <c r="V43" s="164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</row>
    <row r="44">
      <c r="A44" s="1" t="n"/>
      <c r="B44" s="1" t="n"/>
      <c r="C44" s="1" t="n"/>
      <c r="D44" s="161" t="n"/>
      <c r="E44" s="161" t="n"/>
      <c r="F44" s="111" t="inlineStr">
        <is>
          <t>COMART CORPORATION</t>
        </is>
      </c>
      <c r="G44" s="1" t="n"/>
      <c r="H44" s="1" t="n"/>
      <c r="I44" s="1" t="n"/>
      <c r="J44" s="162" t="n"/>
      <c r="K44" s="163" t="n"/>
      <c r="L44" s="163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</row>
    <row r="45">
      <c r="A45" s="1" t="n"/>
      <c r="B45" s="1" t="n"/>
      <c r="C45" s="1" t="n"/>
      <c r="D45" s="161" t="n"/>
      <c r="E45" s="161" t="n"/>
      <c r="F45" s="111" t="inlineStr">
        <is>
          <t>EMILY HOU</t>
        </is>
      </c>
      <c r="G45" s="1" t="n"/>
      <c r="H45" s="1" t="n"/>
      <c r="I45" s="1" t="n"/>
      <c r="J45" s="162" t="n"/>
      <c r="K45" s="163" t="n"/>
      <c r="L45" s="163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</row>
    <row r="46" ht="17" customHeight="1">
      <c r="A46" s="31" t="n"/>
      <c r="B46" s="31" t="n"/>
      <c r="C46" s="31" t="n"/>
      <c r="D46" s="165" t="n"/>
      <c r="E46" s="165" t="n"/>
      <c r="F46" s="54" t="n"/>
      <c r="G46" s="31" t="n"/>
      <c r="H46" s="31" t="n"/>
      <c r="I46" s="31" t="n"/>
      <c r="J46" s="31" t="n"/>
      <c r="K46" s="31" t="n"/>
      <c r="L46" s="3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31" t="n"/>
      <c r="B47" s="31" t="n"/>
      <c r="C47" s="31" t="n"/>
      <c r="D47" s="165" t="n"/>
      <c r="E47" s="165" t="n"/>
      <c r="F47" s="54" t="n"/>
      <c r="G47" s="31" t="n"/>
      <c r="H47" s="31" t="n"/>
      <c r="I47" s="31" t="n"/>
      <c r="J47" s="31" t="n"/>
      <c r="K47" s="31" t="n"/>
      <c r="L47" s="3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" t="n"/>
      <c r="B48" s="1" t="n"/>
      <c r="C48" s="1" t="n"/>
      <c r="D48" s="161" t="n"/>
      <c r="E48" s="161" t="n"/>
      <c r="F48" s="111" t="n"/>
      <c r="G48" s="1" t="n"/>
      <c r="H48" s="1" t="n"/>
      <c r="I48" s="1" t="n"/>
      <c r="J48" s="1" t="n"/>
      <c r="K48" s="1" t="n"/>
      <c r="L48" s="16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</sheetData>
  <mergeCells count="6">
    <mergeCell ref="A2:L2"/>
    <mergeCell ref="A11:C11"/>
    <mergeCell ref="A14:C14"/>
    <mergeCell ref="A1:L1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6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75DAYS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67" t="n">
        <v>10000</v>
      </c>
      <c r="E13" s="168" t="n">
        <v>3.469</v>
      </c>
      <c r="F13" s="169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67" t="n">
        <v>36000</v>
      </c>
      <c r="E14" s="168" t="n">
        <v>2.722</v>
      </c>
      <c r="F14" s="169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67" t="n">
        <v>6000</v>
      </c>
      <c r="E15" s="168" t="n">
        <v>3.96</v>
      </c>
      <c r="F15" s="169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3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0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1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2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2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2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3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2026-06-25T06:03:47Z</dcterms:modified>
  <cp:lastModifiedBy>陳惠卿 [ Lydia Chen ]</cp:lastModifiedBy>
  <cp:lastPrinted>2022-08-30T03:41:40Z</cp:lastPrinted>
</cp:coreProperties>
</file>