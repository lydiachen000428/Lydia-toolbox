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11" firstSheet="0" activeTab="0" autoFilterDateGrouping="1"/>
  </bookViews>
  <sheets>
    <sheet name="PAC" sheetId="1" state="visible" r:id="rId1"/>
    <sheet name="invoice" sheetId="2" state="visible" r:id="rId2"/>
  </sheets>
  <definedNames>
    <definedName name="_xlnm.Print_Area" localSheetId="0">'PAC'!$A$1:$L$45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_);[Red]\(0\)"/>
    <numFmt numFmtId="165" formatCode="0.000_);[Red]\(0.000\)"/>
    <numFmt numFmtId="166" formatCode="0.00_);[Red]\(0.00\)"/>
    <numFmt numFmtId="167" formatCode="#,##0_);[Red]\(#,##0\)"/>
    <numFmt numFmtId="168" formatCode="#,##0.000_);[Red]\(#,##0.000\)"/>
    <numFmt numFmtId="169" formatCode="#,##0.00_);[Red]\(#,##0.00\)"/>
    <numFmt numFmtId="170" formatCode="#,##0.00_ "/>
    <numFmt numFmtId="171" formatCode="_-* #,##0_-;\-* #,##0_-;_-* &quot;-&quot;??_-;_-@_-"/>
    <numFmt numFmtId="172" formatCode="_-* #,##0.00_-;\-* #,##0.00_-;_-* &quot;-&quot;??_-;_-@_-"/>
    <numFmt numFmtId="173" formatCode="0.00_ "/>
  </numFmts>
  <fonts count="41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Times New Roman"/>
      <family val="1"/>
      <b val="1"/>
      <sz val="20"/>
      <u val="single"/>
    </font>
    <font>
      <name val="新細明體"/>
      <charset val="136"/>
      <family val="1"/>
      <sz val="9"/>
    </font>
    <font>
      <name val="Times New Roman"/>
      <family val="1"/>
      <sz val="11"/>
    </font>
    <font>
      <name val="Times New Roman"/>
      <family val="1"/>
      <b val="1"/>
      <sz val="16"/>
      <u val="single"/>
    </font>
    <font>
      <name val="Times New Roman"/>
      <family val="1"/>
      <b val="1"/>
      <sz val="12"/>
    </font>
    <font>
      <name val="Times New Roman"/>
      <family val="1"/>
      <b val="1"/>
      <sz val="11"/>
    </font>
    <font>
      <name val="Times New Roman"/>
      <family val="1"/>
      <b val="1"/>
      <sz val="9"/>
    </font>
    <font>
      <name val="Times New Roman"/>
      <family val="1"/>
      <sz val="12"/>
    </font>
    <font>
      <name val="Times New Roman"/>
      <family val="1"/>
      <b val="1"/>
      <sz val="10"/>
    </font>
    <font>
      <name val="Times New Roman"/>
      <family val="1"/>
      <color theme="1"/>
      <sz val="12"/>
    </font>
    <font>
      <name val="Calibri"/>
      <family val="2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  <u val="single"/>
    </font>
    <font>
      <name val="Times New Roman"/>
      <family val="1"/>
      <b val="1"/>
      <color theme="1"/>
      <sz val="18"/>
    </font>
    <font>
      <name val="Times New Roman"/>
      <family val="1"/>
      <color rgb="FFFF0000"/>
      <sz val="11"/>
    </font>
    <font>
      <name val="Lucida Calligraphy"/>
      <family val="4"/>
      <sz val="11"/>
    </font>
    <font>
      <name val="Times New Roman"/>
      <family val="1"/>
      <color theme="1"/>
      <sz val="11"/>
    </font>
    <font>
      <name val="Times New Roman"/>
      <family val="1"/>
      <b val="1"/>
      <sz val="11"/>
      <u val="single"/>
    </font>
    <font>
      <name val="Times New Roman"/>
      <family val="1"/>
      <color rgb="FFFF0000"/>
      <sz val="12"/>
    </font>
    <font>
      <name val="新細明體"/>
      <charset val="136"/>
      <family val="1"/>
      <color indexed="8"/>
      <sz val="12"/>
    </font>
    <font>
      <name val="新細明體"/>
      <charset val="136"/>
      <family val="1"/>
      <color indexed="9"/>
      <sz val="12"/>
    </font>
    <font>
      <name val="宋体"/>
      <charset val="136"/>
      <family val="3"/>
      <sz val="12"/>
    </font>
    <font>
      <name val="新細明體"/>
      <charset val="136"/>
      <family val="1"/>
      <color indexed="60"/>
      <sz val="12"/>
    </font>
    <font>
      <name val="新細明體"/>
      <charset val="136"/>
      <family val="1"/>
      <b val="1"/>
      <color indexed="8"/>
      <sz val="12"/>
    </font>
    <font>
      <name val="新細明體"/>
      <charset val="136"/>
      <family val="1"/>
      <color indexed="17"/>
      <sz val="12"/>
    </font>
    <font>
      <name val="新細明體"/>
      <charset val="136"/>
      <family val="1"/>
      <b val="1"/>
      <color indexed="52"/>
      <sz val="12"/>
    </font>
    <font>
      <name val="新細明體"/>
      <family val="1"/>
      <sz val="12"/>
    </font>
    <font>
      <name val="新細明體"/>
      <charset val="136"/>
      <family val="1"/>
      <color indexed="52"/>
      <sz val="12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b val="1"/>
      <color indexed="56"/>
      <sz val="15"/>
    </font>
    <font>
      <name val="新細明體"/>
      <charset val="136"/>
      <family val="1"/>
      <b val="1"/>
      <color indexed="56"/>
      <sz val="13"/>
    </font>
    <font>
      <name val="新細明體"/>
      <charset val="136"/>
      <family val="1"/>
      <b val="1"/>
      <color indexed="56"/>
      <sz val="11"/>
    </font>
    <font>
      <name val="新細明體"/>
      <charset val="136"/>
      <family val="1"/>
      <b val="1"/>
      <color indexed="56"/>
      <sz val="18"/>
    </font>
    <font>
      <name val="新細明體"/>
      <charset val="136"/>
      <family val="1"/>
      <color indexed="62"/>
      <sz val="12"/>
    </font>
    <font>
      <name val="新細明體"/>
      <charset val="136"/>
      <family val="1"/>
      <b val="1"/>
      <color indexed="63"/>
      <sz val="12"/>
    </font>
    <font>
      <name val="新細明體"/>
      <charset val="136"/>
      <family val="1"/>
      <b val="1"/>
      <color indexed="9"/>
      <sz val="12"/>
    </font>
    <font>
      <name val="新細明體"/>
      <charset val="136"/>
      <family val="1"/>
      <color indexed="20"/>
      <sz val="12"/>
    </font>
    <font>
      <name val="新細明體"/>
      <charset val="136"/>
      <family val="1"/>
      <color indexed="10"/>
      <sz val="12"/>
    </font>
    <font>
      <name val="Times New Roman"/>
      <color rgb="FFFF0000"/>
    </font>
  </fonts>
  <fills count="2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  <bgColor indexed="64"/>
      </patternFill>
    </fill>
  </fills>
  <borders count="3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51">
    <xf numFmtId="0" fontId="1" fillId="0" borderId="0"/>
    <xf numFmtId="43" fontId="1" fillId="0" borderId="0"/>
    <xf numFmtId="0" fontId="1" fillId="0" borderId="0"/>
    <xf numFmtId="0" fontId="21" fillId="4" borderId="0" applyAlignment="1">
      <alignment vertical="center"/>
    </xf>
    <xf numFmtId="0" fontId="21" fillId="5" borderId="0" applyAlignment="1">
      <alignment vertical="center"/>
    </xf>
    <xf numFmtId="0" fontId="21" fillId="6" borderId="0" applyAlignment="1">
      <alignment vertical="center"/>
    </xf>
    <xf numFmtId="0" fontId="21" fillId="7" borderId="0" applyAlignment="1">
      <alignment vertical="center"/>
    </xf>
    <xf numFmtId="0" fontId="21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1" fillId="7" borderId="0" applyAlignment="1">
      <alignment vertical="center"/>
    </xf>
    <xf numFmtId="0" fontId="21" fillId="10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0" borderId="0"/>
    <xf numFmtId="0" fontId="1" fillId="0" borderId="0" applyAlignment="1">
      <alignment vertical="center"/>
    </xf>
    <xf numFmtId="0" fontId="1" fillId="0" borderId="0"/>
    <xf numFmtId="43" fontId="1" fillId="0" borderId="0"/>
    <xf numFmtId="0" fontId="24" fillId="18" borderId="0" applyAlignment="1">
      <alignment vertical="center"/>
    </xf>
    <xf numFmtId="0" fontId="25" fillId="0" borderId="21" applyAlignment="1">
      <alignment vertical="center"/>
    </xf>
    <xf numFmtId="0" fontId="26" fillId="6" borderId="0" applyAlignment="1">
      <alignment vertical="center"/>
    </xf>
    <xf numFmtId="0" fontId="26" fillId="19" borderId="0" applyAlignment="1">
      <alignment vertical="center"/>
    </xf>
    <xf numFmtId="0" fontId="27" fillId="20" borderId="22" applyAlignment="1">
      <alignment vertical="center"/>
    </xf>
    <xf numFmtId="0" fontId="28" fillId="0" borderId="0" applyAlignment="1">
      <alignment vertical="center"/>
    </xf>
    <xf numFmtId="0" fontId="29" fillId="0" borderId="23" applyAlignment="1">
      <alignment vertical="center"/>
    </xf>
    <xf numFmtId="0" fontId="23" fillId="21" borderId="24" applyAlignment="1">
      <alignment vertical="center"/>
    </xf>
    <xf numFmtId="0" fontId="30" fillId="0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25" borderId="0" applyAlignment="1">
      <alignment vertical="center"/>
    </xf>
    <xf numFmtId="0" fontId="31" fillId="0" borderId="25" applyAlignment="1">
      <alignment vertical="center"/>
    </xf>
    <xf numFmtId="0" fontId="32" fillId="0" borderId="26" applyAlignment="1">
      <alignment vertical="center"/>
    </xf>
    <xf numFmtId="0" fontId="33" fillId="0" borderId="27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9" borderId="22" applyAlignment="1">
      <alignment vertical="center"/>
    </xf>
    <xf numFmtId="0" fontId="36" fillId="20" borderId="28" applyAlignment="1">
      <alignment vertical="center"/>
    </xf>
    <xf numFmtId="0" fontId="37" fillId="26" borderId="29" applyAlignment="1">
      <alignment vertical="center"/>
    </xf>
    <xf numFmtId="0" fontId="38" fillId="5" borderId="0" applyAlignment="1">
      <alignment vertical="center"/>
    </xf>
    <xf numFmtId="0" fontId="38" fillId="27" borderId="0" applyAlignment="1">
      <alignment vertical="center"/>
    </xf>
    <xf numFmtId="0" fontId="39" fillId="0" borderId="0" applyAlignment="1">
      <alignment vertical="center"/>
    </xf>
  </cellStyleXfs>
  <cellXfs count="179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8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164" fontId="9" fillId="0" borderId="12" applyAlignment="1" pivotButton="0" quotePrefix="0" xfId="0">
      <alignment horizontal="center"/>
    </xf>
    <xf numFmtId="0" fontId="9" fillId="0" borderId="14" applyAlignment="1" pivotButton="0" quotePrefix="0" xfId="0">
      <alignment horizontal="center"/>
    </xf>
    <xf numFmtId="0" fontId="9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12" fillId="0" borderId="0" pivotButton="0" quotePrefix="0" xfId="0"/>
    <xf numFmtId="164" fontId="12" fillId="0" borderId="0" pivotButton="0" quotePrefix="0" xfId="0"/>
    <xf numFmtId="166" fontId="9" fillId="0" borderId="0" applyAlignment="1" pivotButton="0" quotePrefix="0" xfId="0">
      <alignment horizontal="left" vertical="center"/>
    </xf>
    <xf numFmtId="0" fontId="9" fillId="0" borderId="16" applyAlignment="1" pivotButton="0" quotePrefix="0" xfId="0">
      <alignment vertical="center"/>
    </xf>
    <xf numFmtId="0" fontId="9" fillId="0" borderId="16" applyAlignment="1" pivotButton="0" quotePrefix="0" xfId="0">
      <alignment horizontal="left" vertical="center"/>
    </xf>
    <xf numFmtId="0" fontId="12" fillId="0" borderId="16" pivotButton="0" quotePrefix="0" xfId="0"/>
    <xf numFmtId="164" fontId="12" fillId="0" borderId="16" pivotButton="0" quotePrefix="0" xfId="0"/>
    <xf numFmtId="0" fontId="9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9" fontId="9" fillId="0" borderId="8" applyAlignment="1" pivotButton="0" quotePrefix="0" xfId="0">
      <alignment horizontal="right" vertical="center"/>
    </xf>
    <xf numFmtId="0" fontId="4" fillId="0" borderId="0" applyAlignment="1" pivotButton="0" quotePrefix="0" xfId="2">
      <alignment horizontal="left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0" fontId="9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9" fillId="0" borderId="11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justify" vertical="center"/>
    </xf>
    <xf numFmtId="0" fontId="4" fillId="0" borderId="8" applyAlignment="1" pivotButton="0" quotePrefix="0" xfId="0">
      <alignment vertical="center"/>
    </xf>
    <xf numFmtId="0" fontId="4" fillId="0" borderId="5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0" fontId="17" fillId="0" borderId="0" applyAlignment="1" pivotButton="0" quotePrefix="0" xfId="0">
      <alignment vertical="center"/>
    </xf>
    <xf numFmtId="0" fontId="4" fillId="3" borderId="8" applyAlignment="1" pivotButton="0" quotePrefix="0" xfId="0">
      <alignment vertical="center"/>
    </xf>
    <xf numFmtId="0" fontId="4" fillId="3" borderId="5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  <xf numFmtId="0" fontId="18" fillId="0" borderId="7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166" fontId="9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7" fontId="4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165" fontId="9" fillId="0" borderId="10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4" fillId="0" borderId="7" applyAlignment="1" pivotButton="0" quotePrefix="0" xfId="0">
      <alignment horizontal="center" vertical="center"/>
    </xf>
    <xf numFmtId="166" fontId="20" fillId="2" borderId="0" applyAlignment="1" pivotButton="0" quotePrefix="0" xfId="0">
      <alignment horizontal="left" vertical="center"/>
    </xf>
    <xf numFmtId="168" fontId="4" fillId="0" borderId="7" applyAlignment="1" pivotButton="0" quotePrefix="0" xfId="0">
      <alignment horizontal="right" vertical="center"/>
    </xf>
    <xf numFmtId="0" fontId="9" fillId="0" borderId="7" applyAlignment="1" pivotButton="0" quotePrefix="0" xfId="0">
      <alignment horizontal="center" vertical="center"/>
    </xf>
    <xf numFmtId="49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5" applyAlignment="1" pivotButton="0" quotePrefix="0" xfId="0">
      <alignment horizontal="center" vertical="center"/>
    </xf>
    <xf numFmtId="49" fontId="9" fillId="0" borderId="5" applyAlignment="1" pivotButton="0" quotePrefix="0" xfId="0">
      <alignment horizontal="center" vertical="center" wrapText="1"/>
    </xf>
    <xf numFmtId="49" fontId="9" fillId="0" borderId="20" applyAlignment="1" pivotButton="0" quotePrefix="0" xfId="0">
      <alignment horizontal="center" vertical="center" wrapText="1"/>
    </xf>
    <xf numFmtId="164" fontId="9" fillId="0" borderId="6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 wrapText="1"/>
    </xf>
    <xf numFmtId="49" fontId="4" fillId="2" borderId="0" applyAlignment="1" pivotButton="0" quotePrefix="0" xfId="0">
      <alignment vertical="center" wrapText="1"/>
    </xf>
    <xf numFmtId="164" fontId="9" fillId="0" borderId="12" applyAlignment="1" pivotButton="0" quotePrefix="0" xfId="0">
      <alignment horizontal="center" vertical="center"/>
    </xf>
    <xf numFmtId="164" fontId="9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73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64" fontId="4" fillId="0" borderId="0" pivotButton="0" quotePrefix="0" xfId="0"/>
    <xf numFmtId="165" fontId="4" fillId="0" borderId="0" pivotButton="0" quotePrefix="0" xfId="0"/>
    <xf numFmtId="164" fontId="6" fillId="0" borderId="0" applyAlignment="1" pivotButton="0" quotePrefix="0" xfId="0">
      <alignment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164" fontId="9" fillId="0" borderId="6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/>
    </xf>
    <xf numFmtId="168" fontId="4" fillId="0" borderId="7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1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9" fillId="0" borderId="12" applyAlignment="1" pivotButton="0" quotePrefix="0" xfId="0">
      <alignment horizont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164" fontId="10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40" fillId="0" borderId="0" applyAlignment="1" pivotButton="0" quotePrefix="0" xfId="0">
      <alignment vertical="center"/>
    </xf>
    <xf numFmtId="164" fontId="12" fillId="0" borderId="0" pivotButton="0" quotePrefix="0" xfId="0"/>
    <xf numFmtId="164" fontId="40" fillId="0" borderId="0" pivotButton="0" quotePrefix="0" xfId="0"/>
    <xf numFmtId="0" fontId="40" fillId="0" borderId="0" pivotButton="0" quotePrefix="0" xfId="0"/>
    <xf numFmtId="164" fontId="40" fillId="0" borderId="0" applyAlignment="1" pivotButton="0" quotePrefix="0" xfId="0">
      <alignment horizontal="left" vertical="center"/>
    </xf>
    <xf numFmtId="166" fontId="40" fillId="2" borderId="0" applyAlignment="1" pivotButton="0" quotePrefix="0" xfId="0">
      <alignment horizontal="left" vertical="center"/>
    </xf>
    <xf numFmtId="166" fontId="20" fillId="2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/>
    </xf>
    <xf numFmtId="166" fontId="9" fillId="2" borderId="0" applyAlignment="1" pivotButton="0" quotePrefix="0" xfId="0">
      <alignment horizontal="left" vertical="center"/>
    </xf>
    <xf numFmtId="164" fontId="12" fillId="0" borderId="16" pivotButton="0" quotePrefix="0" xfId="0"/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173" fontId="2" fillId="0" borderId="0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165" fontId="9" fillId="0" borderId="10" applyAlignment="1" pivotButton="0" quotePrefix="0" xfId="0">
      <alignment horizontal="right" vertical="center"/>
    </xf>
    <xf numFmtId="169" fontId="9" fillId="0" borderId="8" applyAlignment="1" pivotButton="0" quotePrefix="0" xfId="0">
      <alignment horizontal="right" vertical="center"/>
    </xf>
    <xf numFmtId="166" fontId="9" fillId="0" borderId="0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</cellXfs>
  <cellStyles count="51">
    <cellStyle name="一般" xfId="0" builtinId="0"/>
    <cellStyle name="千分位" xfId="1" builtinId="3"/>
    <cellStyle name="一般 2" xfId="2"/>
    <cellStyle name="20% - 輔色1 2" xfId="3"/>
    <cellStyle name="20% - 輔色2 2" xfId="4"/>
    <cellStyle name="20% - 輔色3 2" xfId="5"/>
    <cellStyle name="20% - 輔色4 2" xfId="6"/>
    <cellStyle name="20% - 輔色5 2" xfId="7"/>
    <cellStyle name="20% - 輔色6 2" xfId="8"/>
    <cellStyle name="40% - 輔色1 2" xfId="9"/>
    <cellStyle name="40% - 輔色2 2" xfId="10"/>
    <cellStyle name="40% - 輔色3 2" xfId="11"/>
    <cellStyle name="40% - 輔色4 2" xfId="12"/>
    <cellStyle name="40% - 輔色5 2" xfId="13"/>
    <cellStyle name="40% - 輔色6 2" xfId="14"/>
    <cellStyle name="60% - 輔色1 2" xfId="15"/>
    <cellStyle name="60% - 輔色2 2" xfId="16"/>
    <cellStyle name="60% - 輔色3 2" xfId="17"/>
    <cellStyle name="60% - 輔色4 2" xfId="18"/>
    <cellStyle name="60% - 輔色5 2" xfId="19"/>
    <cellStyle name="60% - 輔色6 2" xfId="20"/>
    <cellStyle name="一般 3" xfId="21"/>
    <cellStyle name="一般 4" xfId="22"/>
    <cellStyle name="一般 5" xfId="23"/>
    <cellStyle name="千分位 2" xfId="24"/>
    <cellStyle name="中等 2" xfId="25"/>
    <cellStyle name="合計 2" xfId="26"/>
    <cellStyle name="好 2" xfId="27"/>
    <cellStyle name="好_589" xfId="28"/>
    <cellStyle name="計算方式 2" xfId="29"/>
    <cellStyle name="常规_1182_2" xfId="30"/>
    <cellStyle name="連結的儲存格 2" xfId="31"/>
    <cellStyle name="備註 2" xfId="32"/>
    <cellStyle name="說明文字 2" xfId="33"/>
    <cellStyle name="輔色1 2" xfId="34"/>
    <cellStyle name="輔色2 2" xfId="35"/>
    <cellStyle name="輔色3 2" xfId="36"/>
    <cellStyle name="輔色4 2" xfId="37"/>
    <cellStyle name="輔色5 2" xfId="38"/>
    <cellStyle name="輔色6 2" xfId="39"/>
    <cellStyle name="標題 1 2" xfId="40"/>
    <cellStyle name="標題 2 2" xfId="41"/>
    <cellStyle name="標題 3 2" xfId="42"/>
    <cellStyle name="標題 4 2" xfId="43"/>
    <cellStyle name="標題 5" xfId="44"/>
    <cellStyle name="輸入 2" xfId="45"/>
    <cellStyle name="輸出 2" xfId="46"/>
    <cellStyle name="檢查儲存格 2" xfId="47"/>
    <cellStyle name="壞 2" xfId="48"/>
    <cellStyle name="壞_589" xfId="49"/>
    <cellStyle name="警告文字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tel:+886-2-89111133%20%20%20FAX:+886-2-866530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W54"/>
  <sheetViews>
    <sheetView tabSelected="1" view="pageBreakPreview" topLeftCell="A2" zoomScaleNormal="100" zoomScaleSheetLayoutView="100" workbookViewId="0">
      <selection activeCell="F26" sqref="F26"/>
    </sheetView>
  </sheetViews>
  <sheetFormatPr baseColWidth="8" defaultRowHeight="14"/>
  <cols>
    <col width="5" customWidth="1" style="55" min="1" max="1"/>
    <col width="4.26953125" customWidth="1" style="55" min="2" max="2"/>
    <col width="6.08984375" customWidth="1" style="55" min="3" max="3"/>
    <col width="8.7265625" customWidth="1" style="120" min="4" max="4"/>
    <col width="13.54296875" customWidth="1" style="120" min="5" max="5"/>
    <col width="16.90625" customWidth="1" style="28" min="6" max="6"/>
    <col width="37" customWidth="1" style="55" min="7" max="7"/>
    <col width="10" customWidth="1" style="55" min="8" max="8"/>
    <col width="13.90625" customWidth="1" style="55" min="9" max="9"/>
    <col width="11.08984375" customWidth="1" style="55" min="10" max="10"/>
    <col width="13.26953125" customWidth="1" style="55" min="11" max="11"/>
    <col width="13.1796875" customWidth="1" style="121" min="12" max="12"/>
    <col width="8.7265625" customWidth="1" style="55" min="13" max="257"/>
    <col width="5" customWidth="1" style="55" min="258" max="258"/>
    <col width="4.26953125" customWidth="1" style="55" min="259" max="259"/>
    <col width="5.453125" customWidth="1" style="55" min="260" max="260"/>
    <col width="8.7265625" customWidth="1" style="55" min="261" max="261"/>
    <col width="20.08984375" customWidth="1" style="55" min="262" max="262"/>
    <col width="37" customWidth="1" style="55" min="263" max="263"/>
    <col width="10" customWidth="1" style="55" min="264" max="264"/>
    <col width="12.7265625" customWidth="1" style="55" min="265" max="265"/>
    <col width="11.08984375" customWidth="1" style="55" min="266" max="266"/>
    <col width="13.26953125" customWidth="1" style="55" min="267" max="267"/>
    <col width="15.08984375" customWidth="1" style="55" min="268" max="268"/>
    <col width="8.7265625" customWidth="1" style="55" min="269" max="513"/>
    <col width="5" customWidth="1" style="55" min="514" max="514"/>
    <col width="4.26953125" customWidth="1" style="55" min="515" max="515"/>
    <col width="5.453125" customWidth="1" style="55" min="516" max="516"/>
    <col width="8.7265625" customWidth="1" style="55" min="517" max="517"/>
    <col width="20.08984375" customWidth="1" style="55" min="518" max="518"/>
    <col width="37" customWidth="1" style="55" min="519" max="519"/>
    <col width="10" customWidth="1" style="55" min="520" max="520"/>
    <col width="12.7265625" customWidth="1" style="55" min="521" max="521"/>
    <col width="11.08984375" customWidth="1" style="55" min="522" max="522"/>
    <col width="13.26953125" customWidth="1" style="55" min="523" max="523"/>
    <col width="15.08984375" customWidth="1" style="55" min="524" max="524"/>
    <col width="8.7265625" customWidth="1" style="55" min="525" max="769"/>
    <col width="5" customWidth="1" style="55" min="770" max="770"/>
    <col width="4.26953125" customWidth="1" style="55" min="771" max="771"/>
    <col width="5.453125" customWidth="1" style="55" min="772" max="772"/>
    <col width="8.7265625" customWidth="1" style="55" min="773" max="773"/>
    <col width="20.08984375" customWidth="1" style="55" min="774" max="774"/>
    <col width="37" customWidth="1" style="55" min="775" max="775"/>
    <col width="10" customWidth="1" style="55" min="776" max="776"/>
    <col width="12.7265625" customWidth="1" style="55" min="777" max="777"/>
    <col width="11.08984375" customWidth="1" style="55" min="778" max="778"/>
    <col width="13.26953125" customWidth="1" style="55" min="779" max="779"/>
    <col width="15.08984375" customWidth="1" style="55" min="780" max="780"/>
    <col width="8.7265625" customWidth="1" style="55" min="781" max="1025"/>
    <col width="5" customWidth="1" style="55" min="1026" max="1026"/>
    <col width="4.26953125" customWidth="1" style="55" min="1027" max="1027"/>
    <col width="5.453125" customWidth="1" style="55" min="1028" max="1028"/>
    <col width="8.7265625" customWidth="1" style="55" min="1029" max="1029"/>
    <col width="20.08984375" customWidth="1" style="55" min="1030" max="1030"/>
    <col width="37" customWidth="1" style="55" min="1031" max="1031"/>
    <col width="10" customWidth="1" style="55" min="1032" max="1032"/>
    <col width="12.7265625" customWidth="1" style="55" min="1033" max="1033"/>
    <col width="11.08984375" customWidth="1" style="55" min="1034" max="1034"/>
    <col width="13.26953125" customWidth="1" style="55" min="1035" max="1035"/>
    <col width="15.08984375" customWidth="1" style="55" min="1036" max="1036"/>
    <col width="8.7265625" customWidth="1" style="55" min="1037" max="1281"/>
    <col width="5" customWidth="1" style="55" min="1282" max="1282"/>
    <col width="4.26953125" customWidth="1" style="55" min="1283" max="1283"/>
    <col width="5.453125" customWidth="1" style="55" min="1284" max="1284"/>
    <col width="8.7265625" customWidth="1" style="55" min="1285" max="1285"/>
    <col width="20.08984375" customWidth="1" style="55" min="1286" max="1286"/>
    <col width="37" customWidth="1" style="55" min="1287" max="1287"/>
    <col width="10" customWidth="1" style="55" min="1288" max="1288"/>
    <col width="12.7265625" customWidth="1" style="55" min="1289" max="1289"/>
    <col width="11.08984375" customWidth="1" style="55" min="1290" max="1290"/>
    <col width="13.26953125" customWidth="1" style="55" min="1291" max="1291"/>
    <col width="15.08984375" customWidth="1" style="55" min="1292" max="1292"/>
    <col width="8.7265625" customWidth="1" style="55" min="1293" max="1537"/>
    <col width="5" customWidth="1" style="55" min="1538" max="1538"/>
    <col width="4.26953125" customWidth="1" style="55" min="1539" max="1539"/>
    <col width="5.453125" customWidth="1" style="55" min="1540" max="1540"/>
    <col width="8.7265625" customWidth="1" style="55" min="1541" max="1541"/>
    <col width="20.08984375" customWidth="1" style="55" min="1542" max="1542"/>
    <col width="37" customWidth="1" style="55" min="1543" max="1543"/>
    <col width="10" customWidth="1" style="55" min="1544" max="1544"/>
    <col width="12.7265625" customWidth="1" style="55" min="1545" max="1545"/>
    <col width="11.08984375" customWidth="1" style="55" min="1546" max="1546"/>
    <col width="13.26953125" customWidth="1" style="55" min="1547" max="1547"/>
    <col width="15.08984375" customWidth="1" style="55" min="1548" max="1548"/>
    <col width="8.7265625" customWidth="1" style="55" min="1549" max="1793"/>
    <col width="5" customWidth="1" style="55" min="1794" max="1794"/>
    <col width="4.26953125" customWidth="1" style="55" min="1795" max="1795"/>
    <col width="5.453125" customWidth="1" style="55" min="1796" max="1796"/>
    <col width="8.7265625" customWidth="1" style="55" min="1797" max="1797"/>
    <col width="20.08984375" customWidth="1" style="55" min="1798" max="1798"/>
    <col width="37" customWidth="1" style="55" min="1799" max="1799"/>
    <col width="10" customWidth="1" style="55" min="1800" max="1800"/>
    <col width="12.7265625" customWidth="1" style="55" min="1801" max="1801"/>
    <col width="11.08984375" customWidth="1" style="55" min="1802" max="1802"/>
    <col width="13.26953125" customWidth="1" style="55" min="1803" max="1803"/>
    <col width="15.08984375" customWidth="1" style="55" min="1804" max="1804"/>
    <col width="8.7265625" customWidth="1" style="55" min="1805" max="2049"/>
    <col width="5" customWidth="1" style="55" min="2050" max="2050"/>
    <col width="4.26953125" customWidth="1" style="55" min="2051" max="2051"/>
    <col width="5.453125" customWidth="1" style="55" min="2052" max="2052"/>
    <col width="8.7265625" customWidth="1" style="55" min="2053" max="2053"/>
    <col width="20.08984375" customWidth="1" style="55" min="2054" max="2054"/>
    <col width="37" customWidth="1" style="55" min="2055" max="2055"/>
    <col width="10" customWidth="1" style="55" min="2056" max="2056"/>
    <col width="12.7265625" customWidth="1" style="55" min="2057" max="2057"/>
    <col width="11.08984375" customWidth="1" style="55" min="2058" max="2058"/>
    <col width="13.26953125" customWidth="1" style="55" min="2059" max="2059"/>
    <col width="15.08984375" customWidth="1" style="55" min="2060" max="2060"/>
    <col width="8.7265625" customWidth="1" style="55" min="2061" max="2305"/>
    <col width="5" customWidth="1" style="55" min="2306" max="2306"/>
    <col width="4.26953125" customWidth="1" style="55" min="2307" max="2307"/>
    <col width="5.453125" customWidth="1" style="55" min="2308" max="2308"/>
    <col width="8.7265625" customWidth="1" style="55" min="2309" max="2309"/>
    <col width="20.08984375" customWidth="1" style="55" min="2310" max="2310"/>
    <col width="37" customWidth="1" style="55" min="2311" max="2311"/>
    <col width="10" customWidth="1" style="55" min="2312" max="2312"/>
    <col width="12.7265625" customWidth="1" style="55" min="2313" max="2313"/>
    <col width="11.08984375" customWidth="1" style="55" min="2314" max="2314"/>
    <col width="13.26953125" customWidth="1" style="55" min="2315" max="2315"/>
    <col width="15.08984375" customWidth="1" style="55" min="2316" max="2316"/>
    <col width="8.7265625" customWidth="1" style="55" min="2317" max="2561"/>
    <col width="5" customWidth="1" style="55" min="2562" max="2562"/>
    <col width="4.26953125" customWidth="1" style="55" min="2563" max="2563"/>
    <col width="5.453125" customWidth="1" style="55" min="2564" max="2564"/>
    <col width="8.7265625" customWidth="1" style="55" min="2565" max="2565"/>
    <col width="20.08984375" customWidth="1" style="55" min="2566" max="2566"/>
    <col width="37" customWidth="1" style="55" min="2567" max="2567"/>
    <col width="10" customWidth="1" style="55" min="2568" max="2568"/>
    <col width="12.7265625" customWidth="1" style="55" min="2569" max="2569"/>
    <col width="11.08984375" customWidth="1" style="55" min="2570" max="2570"/>
    <col width="13.26953125" customWidth="1" style="55" min="2571" max="2571"/>
    <col width="15.08984375" customWidth="1" style="55" min="2572" max="2572"/>
    <col width="8.7265625" customWidth="1" style="55" min="2573" max="2817"/>
    <col width="5" customWidth="1" style="55" min="2818" max="2818"/>
    <col width="4.26953125" customWidth="1" style="55" min="2819" max="2819"/>
    <col width="5.453125" customWidth="1" style="55" min="2820" max="2820"/>
    <col width="8.7265625" customWidth="1" style="55" min="2821" max="2821"/>
    <col width="20.08984375" customWidth="1" style="55" min="2822" max="2822"/>
    <col width="37" customWidth="1" style="55" min="2823" max="2823"/>
    <col width="10" customWidth="1" style="55" min="2824" max="2824"/>
    <col width="12.7265625" customWidth="1" style="55" min="2825" max="2825"/>
    <col width="11.08984375" customWidth="1" style="55" min="2826" max="2826"/>
    <col width="13.26953125" customWidth="1" style="55" min="2827" max="2827"/>
    <col width="15.08984375" customWidth="1" style="55" min="2828" max="2828"/>
    <col width="8.7265625" customWidth="1" style="55" min="2829" max="3073"/>
    <col width="5" customWidth="1" style="55" min="3074" max="3074"/>
    <col width="4.26953125" customWidth="1" style="55" min="3075" max="3075"/>
    <col width="5.453125" customWidth="1" style="55" min="3076" max="3076"/>
    <col width="8.7265625" customWidth="1" style="55" min="3077" max="3077"/>
    <col width="20.08984375" customWidth="1" style="55" min="3078" max="3078"/>
    <col width="37" customWidth="1" style="55" min="3079" max="3079"/>
    <col width="10" customWidth="1" style="55" min="3080" max="3080"/>
    <col width="12.7265625" customWidth="1" style="55" min="3081" max="3081"/>
    <col width="11.08984375" customWidth="1" style="55" min="3082" max="3082"/>
    <col width="13.26953125" customWidth="1" style="55" min="3083" max="3083"/>
    <col width="15.08984375" customWidth="1" style="55" min="3084" max="3084"/>
    <col width="8.7265625" customWidth="1" style="55" min="3085" max="3329"/>
    <col width="5" customWidth="1" style="55" min="3330" max="3330"/>
    <col width="4.26953125" customWidth="1" style="55" min="3331" max="3331"/>
    <col width="5.453125" customWidth="1" style="55" min="3332" max="3332"/>
    <col width="8.7265625" customWidth="1" style="55" min="3333" max="3333"/>
    <col width="20.08984375" customWidth="1" style="55" min="3334" max="3334"/>
    <col width="37" customWidth="1" style="55" min="3335" max="3335"/>
    <col width="10" customWidth="1" style="55" min="3336" max="3336"/>
    <col width="12.7265625" customWidth="1" style="55" min="3337" max="3337"/>
    <col width="11.08984375" customWidth="1" style="55" min="3338" max="3338"/>
    <col width="13.26953125" customWidth="1" style="55" min="3339" max="3339"/>
    <col width="15.08984375" customWidth="1" style="55" min="3340" max="3340"/>
    <col width="8.7265625" customWidth="1" style="55" min="3341" max="3585"/>
    <col width="5" customWidth="1" style="55" min="3586" max="3586"/>
    <col width="4.26953125" customWidth="1" style="55" min="3587" max="3587"/>
    <col width="5.453125" customWidth="1" style="55" min="3588" max="3588"/>
    <col width="8.7265625" customWidth="1" style="55" min="3589" max="3589"/>
    <col width="20.08984375" customWidth="1" style="55" min="3590" max="3590"/>
    <col width="37" customWidth="1" style="55" min="3591" max="3591"/>
    <col width="10" customWidth="1" style="55" min="3592" max="3592"/>
    <col width="12.7265625" customWidth="1" style="55" min="3593" max="3593"/>
    <col width="11.08984375" customWidth="1" style="55" min="3594" max="3594"/>
    <col width="13.26953125" customWidth="1" style="55" min="3595" max="3595"/>
    <col width="15.08984375" customWidth="1" style="55" min="3596" max="3596"/>
    <col width="8.7265625" customWidth="1" style="55" min="3597" max="3841"/>
    <col width="5" customWidth="1" style="55" min="3842" max="3842"/>
    <col width="4.26953125" customWidth="1" style="55" min="3843" max="3843"/>
    <col width="5.453125" customWidth="1" style="55" min="3844" max="3844"/>
    <col width="8.7265625" customWidth="1" style="55" min="3845" max="3845"/>
    <col width="20.08984375" customWidth="1" style="55" min="3846" max="3846"/>
    <col width="37" customWidth="1" style="55" min="3847" max="3847"/>
    <col width="10" customWidth="1" style="55" min="3848" max="3848"/>
    <col width="12.7265625" customWidth="1" style="55" min="3849" max="3849"/>
    <col width="11.08984375" customWidth="1" style="55" min="3850" max="3850"/>
    <col width="13.26953125" customWidth="1" style="55" min="3851" max="3851"/>
    <col width="15.08984375" customWidth="1" style="55" min="3852" max="3852"/>
    <col width="8.7265625" customWidth="1" style="55" min="3853" max="4097"/>
    <col width="5" customWidth="1" style="55" min="4098" max="4098"/>
    <col width="4.26953125" customWidth="1" style="55" min="4099" max="4099"/>
    <col width="5.453125" customWidth="1" style="55" min="4100" max="4100"/>
    <col width="8.7265625" customWidth="1" style="55" min="4101" max="4101"/>
    <col width="20.08984375" customWidth="1" style="55" min="4102" max="4102"/>
    <col width="37" customWidth="1" style="55" min="4103" max="4103"/>
    <col width="10" customWidth="1" style="55" min="4104" max="4104"/>
    <col width="12.7265625" customWidth="1" style="55" min="4105" max="4105"/>
    <col width="11.08984375" customWidth="1" style="55" min="4106" max="4106"/>
    <col width="13.26953125" customWidth="1" style="55" min="4107" max="4107"/>
    <col width="15.08984375" customWidth="1" style="55" min="4108" max="4108"/>
    <col width="8.7265625" customWidth="1" style="55" min="4109" max="4353"/>
    <col width="5" customWidth="1" style="55" min="4354" max="4354"/>
    <col width="4.26953125" customWidth="1" style="55" min="4355" max="4355"/>
    <col width="5.453125" customWidth="1" style="55" min="4356" max="4356"/>
    <col width="8.7265625" customWidth="1" style="55" min="4357" max="4357"/>
    <col width="20.08984375" customWidth="1" style="55" min="4358" max="4358"/>
    <col width="37" customWidth="1" style="55" min="4359" max="4359"/>
    <col width="10" customWidth="1" style="55" min="4360" max="4360"/>
    <col width="12.7265625" customWidth="1" style="55" min="4361" max="4361"/>
    <col width="11.08984375" customWidth="1" style="55" min="4362" max="4362"/>
    <col width="13.26953125" customWidth="1" style="55" min="4363" max="4363"/>
    <col width="15.08984375" customWidth="1" style="55" min="4364" max="4364"/>
    <col width="8.7265625" customWidth="1" style="55" min="4365" max="4609"/>
    <col width="5" customWidth="1" style="55" min="4610" max="4610"/>
    <col width="4.26953125" customWidth="1" style="55" min="4611" max="4611"/>
    <col width="5.453125" customWidth="1" style="55" min="4612" max="4612"/>
    <col width="8.7265625" customWidth="1" style="55" min="4613" max="4613"/>
    <col width="20.08984375" customWidth="1" style="55" min="4614" max="4614"/>
    <col width="37" customWidth="1" style="55" min="4615" max="4615"/>
    <col width="10" customWidth="1" style="55" min="4616" max="4616"/>
    <col width="12.7265625" customWidth="1" style="55" min="4617" max="4617"/>
    <col width="11.08984375" customWidth="1" style="55" min="4618" max="4618"/>
    <col width="13.26953125" customWidth="1" style="55" min="4619" max="4619"/>
    <col width="15.08984375" customWidth="1" style="55" min="4620" max="4620"/>
    <col width="8.7265625" customWidth="1" style="55" min="4621" max="4865"/>
    <col width="5" customWidth="1" style="55" min="4866" max="4866"/>
    <col width="4.26953125" customWidth="1" style="55" min="4867" max="4867"/>
    <col width="5.453125" customWidth="1" style="55" min="4868" max="4868"/>
    <col width="8.7265625" customWidth="1" style="55" min="4869" max="4869"/>
    <col width="20.08984375" customWidth="1" style="55" min="4870" max="4870"/>
    <col width="37" customWidth="1" style="55" min="4871" max="4871"/>
    <col width="10" customWidth="1" style="55" min="4872" max="4872"/>
    <col width="12.7265625" customWidth="1" style="55" min="4873" max="4873"/>
    <col width="11.08984375" customWidth="1" style="55" min="4874" max="4874"/>
    <col width="13.26953125" customWidth="1" style="55" min="4875" max="4875"/>
    <col width="15.08984375" customWidth="1" style="55" min="4876" max="4876"/>
    <col width="8.7265625" customWidth="1" style="55" min="4877" max="5121"/>
    <col width="5" customWidth="1" style="55" min="5122" max="5122"/>
    <col width="4.26953125" customWidth="1" style="55" min="5123" max="5123"/>
    <col width="5.453125" customWidth="1" style="55" min="5124" max="5124"/>
    <col width="8.7265625" customWidth="1" style="55" min="5125" max="5125"/>
    <col width="20.08984375" customWidth="1" style="55" min="5126" max="5126"/>
    <col width="37" customWidth="1" style="55" min="5127" max="5127"/>
    <col width="10" customWidth="1" style="55" min="5128" max="5128"/>
    <col width="12.7265625" customWidth="1" style="55" min="5129" max="5129"/>
    <col width="11.08984375" customWidth="1" style="55" min="5130" max="5130"/>
    <col width="13.26953125" customWidth="1" style="55" min="5131" max="5131"/>
    <col width="15.08984375" customWidth="1" style="55" min="5132" max="5132"/>
    <col width="8.7265625" customWidth="1" style="55" min="5133" max="5377"/>
    <col width="5" customWidth="1" style="55" min="5378" max="5378"/>
    <col width="4.26953125" customWidth="1" style="55" min="5379" max="5379"/>
    <col width="5.453125" customWidth="1" style="55" min="5380" max="5380"/>
    <col width="8.7265625" customWidth="1" style="55" min="5381" max="5381"/>
    <col width="20.08984375" customWidth="1" style="55" min="5382" max="5382"/>
    <col width="37" customWidth="1" style="55" min="5383" max="5383"/>
    <col width="10" customWidth="1" style="55" min="5384" max="5384"/>
    <col width="12.7265625" customWidth="1" style="55" min="5385" max="5385"/>
    <col width="11.08984375" customWidth="1" style="55" min="5386" max="5386"/>
    <col width="13.26953125" customWidth="1" style="55" min="5387" max="5387"/>
    <col width="15.08984375" customWidth="1" style="55" min="5388" max="5388"/>
    <col width="8.7265625" customWidth="1" style="55" min="5389" max="5633"/>
    <col width="5" customWidth="1" style="55" min="5634" max="5634"/>
    <col width="4.26953125" customWidth="1" style="55" min="5635" max="5635"/>
    <col width="5.453125" customWidth="1" style="55" min="5636" max="5636"/>
    <col width="8.7265625" customWidth="1" style="55" min="5637" max="5637"/>
    <col width="20.08984375" customWidth="1" style="55" min="5638" max="5638"/>
    <col width="37" customWidth="1" style="55" min="5639" max="5639"/>
    <col width="10" customWidth="1" style="55" min="5640" max="5640"/>
    <col width="12.7265625" customWidth="1" style="55" min="5641" max="5641"/>
    <col width="11.08984375" customWidth="1" style="55" min="5642" max="5642"/>
    <col width="13.26953125" customWidth="1" style="55" min="5643" max="5643"/>
    <col width="15.08984375" customWidth="1" style="55" min="5644" max="5644"/>
    <col width="8.7265625" customWidth="1" style="55" min="5645" max="5889"/>
    <col width="5" customWidth="1" style="55" min="5890" max="5890"/>
    <col width="4.26953125" customWidth="1" style="55" min="5891" max="5891"/>
    <col width="5.453125" customWidth="1" style="55" min="5892" max="5892"/>
    <col width="8.7265625" customWidth="1" style="55" min="5893" max="5893"/>
    <col width="20.08984375" customWidth="1" style="55" min="5894" max="5894"/>
    <col width="37" customWidth="1" style="55" min="5895" max="5895"/>
    <col width="10" customWidth="1" style="55" min="5896" max="5896"/>
    <col width="12.7265625" customWidth="1" style="55" min="5897" max="5897"/>
    <col width="11.08984375" customWidth="1" style="55" min="5898" max="5898"/>
    <col width="13.26953125" customWidth="1" style="55" min="5899" max="5899"/>
    <col width="15.08984375" customWidth="1" style="55" min="5900" max="5900"/>
    <col width="8.7265625" customWidth="1" style="55" min="5901" max="6145"/>
    <col width="5" customWidth="1" style="55" min="6146" max="6146"/>
    <col width="4.26953125" customWidth="1" style="55" min="6147" max="6147"/>
    <col width="5.453125" customWidth="1" style="55" min="6148" max="6148"/>
    <col width="8.7265625" customWidth="1" style="55" min="6149" max="6149"/>
    <col width="20.08984375" customWidth="1" style="55" min="6150" max="6150"/>
    <col width="37" customWidth="1" style="55" min="6151" max="6151"/>
    <col width="10" customWidth="1" style="55" min="6152" max="6152"/>
    <col width="12.7265625" customWidth="1" style="55" min="6153" max="6153"/>
    <col width="11.08984375" customWidth="1" style="55" min="6154" max="6154"/>
    <col width="13.26953125" customWidth="1" style="55" min="6155" max="6155"/>
    <col width="15.08984375" customWidth="1" style="55" min="6156" max="6156"/>
    <col width="8.7265625" customWidth="1" style="55" min="6157" max="6401"/>
    <col width="5" customWidth="1" style="55" min="6402" max="6402"/>
    <col width="4.26953125" customWidth="1" style="55" min="6403" max="6403"/>
    <col width="5.453125" customWidth="1" style="55" min="6404" max="6404"/>
    <col width="8.7265625" customWidth="1" style="55" min="6405" max="6405"/>
    <col width="20.08984375" customWidth="1" style="55" min="6406" max="6406"/>
    <col width="37" customWidth="1" style="55" min="6407" max="6407"/>
    <col width="10" customWidth="1" style="55" min="6408" max="6408"/>
    <col width="12.7265625" customWidth="1" style="55" min="6409" max="6409"/>
    <col width="11.08984375" customWidth="1" style="55" min="6410" max="6410"/>
    <col width="13.26953125" customWidth="1" style="55" min="6411" max="6411"/>
    <col width="15.08984375" customWidth="1" style="55" min="6412" max="6412"/>
    <col width="8.7265625" customWidth="1" style="55" min="6413" max="6657"/>
    <col width="5" customWidth="1" style="55" min="6658" max="6658"/>
    <col width="4.26953125" customWidth="1" style="55" min="6659" max="6659"/>
    <col width="5.453125" customWidth="1" style="55" min="6660" max="6660"/>
    <col width="8.7265625" customWidth="1" style="55" min="6661" max="6661"/>
    <col width="20.08984375" customWidth="1" style="55" min="6662" max="6662"/>
    <col width="37" customWidth="1" style="55" min="6663" max="6663"/>
    <col width="10" customWidth="1" style="55" min="6664" max="6664"/>
    <col width="12.7265625" customWidth="1" style="55" min="6665" max="6665"/>
    <col width="11.08984375" customWidth="1" style="55" min="6666" max="6666"/>
    <col width="13.26953125" customWidth="1" style="55" min="6667" max="6667"/>
    <col width="15.08984375" customWidth="1" style="55" min="6668" max="6668"/>
    <col width="8.7265625" customWidth="1" style="55" min="6669" max="6913"/>
    <col width="5" customWidth="1" style="55" min="6914" max="6914"/>
    <col width="4.26953125" customWidth="1" style="55" min="6915" max="6915"/>
    <col width="5.453125" customWidth="1" style="55" min="6916" max="6916"/>
    <col width="8.7265625" customWidth="1" style="55" min="6917" max="6917"/>
    <col width="20.08984375" customWidth="1" style="55" min="6918" max="6918"/>
    <col width="37" customWidth="1" style="55" min="6919" max="6919"/>
    <col width="10" customWidth="1" style="55" min="6920" max="6920"/>
    <col width="12.7265625" customWidth="1" style="55" min="6921" max="6921"/>
    <col width="11.08984375" customWidth="1" style="55" min="6922" max="6922"/>
    <col width="13.26953125" customWidth="1" style="55" min="6923" max="6923"/>
    <col width="15.08984375" customWidth="1" style="55" min="6924" max="6924"/>
    <col width="8.7265625" customWidth="1" style="55" min="6925" max="7169"/>
    <col width="5" customWidth="1" style="55" min="7170" max="7170"/>
    <col width="4.26953125" customWidth="1" style="55" min="7171" max="7171"/>
    <col width="5.453125" customWidth="1" style="55" min="7172" max="7172"/>
    <col width="8.7265625" customWidth="1" style="55" min="7173" max="7173"/>
    <col width="20.08984375" customWidth="1" style="55" min="7174" max="7174"/>
    <col width="37" customWidth="1" style="55" min="7175" max="7175"/>
    <col width="10" customWidth="1" style="55" min="7176" max="7176"/>
    <col width="12.7265625" customWidth="1" style="55" min="7177" max="7177"/>
    <col width="11.08984375" customWidth="1" style="55" min="7178" max="7178"/>
    <col width="13.26953125" customWidth="1" style="55" min="7179" max="7179"/>
    <col width="15.08984375" customWidth="1" style="55" min="7180" max="7180"/>
    <col width="8.7265625" customWidth="1" style="55" min="7181" max="7425"/>
    <col width="5" customWidth="1" style="55" min="7426" max="7426"/>
    <col width="4.26953125" customWidth="1" style="55" min="7427" max="7427"/>
    <col width="5.453125" customWidth="1" style="55" min="7428" max="7428"/>
    <col width="8.7265625" customWidth="1" style="55" min="7429" max="7429"/>
    <col width="20.08984375" customWidth="1" style="55" min="7430" max="7430"/>
    <col width="37" customWidth="1" style="55" min="7431" max="7431"/>
    <col width="10" customWidth="1" style="55" min="7432" max="7432"/>
    <col width="12.7265625" customWidth="1" style="55" min="7433" max="7433"/>
    <col width="11.08984375" customWidth="1" style="55" min="7434" max="7434"/>
    <col width="13.26953125" customWidth="1" style="55" min="7435" max="7435"/>
    <col width="15.08984375" customWidth="1" style="55" min="7436" max="7436"/>
    <col width="8.7265625" customWidth="1" style="55" min="7437" max="7681"/>
    <col width="5" customWidth="1" style="55" min="7682" max="7682"/>
    <col width="4.26953125" customWidth="1" style="55" min="7683" max="7683"/>
    <col width="5.453125" customWidth="1" style="55" min="7684" max="7684"/>
    <col width="8.7265625" customWidth="1" style="55" min="7685" max="7685"/>
    <col width="20.08984375" customWidth="1" style="55" min="7686" max="7686"/>
    <col width="37" customWidth="1" style="55" min="7687" max="7687"/>
    <col width="10" customWidth="1" style="55" min="7688" max="7688"/>
    <col width="12.7265625" customWidth="1" style="55" min="7689" max="7689"/>
    <col width="11.08984375" customWidth="1" style="55" min="7690" max="7690"/>
    <col width="13.26953125" customWidth="1" style="55" min="7691" max="7691"/>
    <col width="15.08984375" customWidth="1" style="55" min="7692" max="7692"/>
    <col width="8.7265625" customWidth="1" style="55" min="7693" max="7937"/>
    <col width="5" customWidth="1" style="55" min="7938" max="7938"/>
    <col width="4.26953125" customWidth="1" style="55" min="7939" max="7939"/>
    <col width="5.453125" customWidth="1" style="55" min="7940" max="7940"/>
    <col width="8.7265625" customWidth="1" style="55" min="7941" max="7941"/>
    <col width="20.08984375" customWidth="1" style="55" min="7942" max="7942"/>
    <col width="37" customWidth="1" style="55" min="7943" max="7943"/>
    <col width="10" customWidth="1" style="55" min="7944" max="7944"/>
    <col width="12.7265625" customWidth="1" style="55" min="7945" max="7945"/>
    <col width="11.08984375" customWidth="1" style="55" min="7946" max="7946"/>
    <col width="13.26953125" customWidth="1" style="55" min="7947" max="7947"/>
    <col width="15.08984375" customWidth="1" style="55" min="7948" max="7948"/>
    <col width="8.7265625" customWidth="1" style="55" min="7949" max="8193"/>
    <col width="5" customWidth="1" style="55" min="8194" max="8194"/>
    <col width="4.26953125" customWidth="1" style="55" min="8195" max="8195"/>
    <col width="5.453125" customWidth="1" style="55" min="8196" max="8196"/>
    <col width="8.7265625" customWidth="1" style="55" min="8197" max="8197"/>
    <col width="20.08984375" customWidth="1" style="55" min="8198" max="8198"/>
    <col width="37" customWidth="1" style="55" min="8199" max="8199"/>
    <col width="10" customWidth="1" style="55" min="8200" max="8200"/>
    <col width="12.7265625" customWidth="1" style="55" min="8201" max="8201"/>
    <col width="11.08984375" customWidth="1" style="55" min="8202" max="8202"/>
    <col width="13.26953125" customWidth="1" style="55" min="8203" max="8203"/>
    <col width="15.08984375" customWidth="1" style="55" min="8204" max="8204"/>
    <col width="8.7265625" customWidth="1" style="55" min="8205" max="8449"/>
    <col width="5" customWidth="1" style="55" min="8450" max="8450"/>
    <col width="4.26953125" customWidth="1" style="55" min="8451" max="8451"/>
    <col width="5.453125" customWidth="1" style="55" min="8452" max="8452"/>
    <col width="8.7265625" customWidth="1" style="55" min="8453" max="8453"/>
    <col width="20.08984375" customWidth="1" style="55" min="8454" max="8454"/>
    <col width="37" customWidth="1" style="55" min="8455" max="8455"/>
    <col width="10" customWidth="1" style="55" min="8456" max="8456"/>
    <col width="12.7265625" customWidth="1" style="55" min="8457" max="8457"/>
    <col width="11.08984375" customWidth="1" style="55" min="8458" max="8458"/>
    <col width="13.26953125" customWidth="1" style="55" min="8459" max="8459"/>
    <col width="15.08984375" customWidth="1" style="55" min="8460" max="8460"/>
    <col width="8.7265625" customWidth="1" style="55" min="8461" max="8705"/>
    <col width="5" customWidth="1" style="55" min="8706" max="8706"/>
    <col width="4.26953125" customWidth="1" style="55" min="8707" max="8707"/>
    <col width="5.453125" customWidth="1" style="55" min="8708" max="8708"/>
    <col width="8.7265625" customWidth="1" style="55" min="8709" max="8709"/>
    <col width="20.08984375" customWidth="1" style="55" min="8710" max="8710"/>
    <col width="37" customWidth="1" style="55" min="8711" max="8711"/>
    <col width="10" customWidth="1" style="55" min="8712" max="8712"/>
    <col width="12.7265625" customWidth="1" style="55" min="8713" max="8713"/>
    <col width="11.08984375" customWidth="1" style="55" min="8714" max="8714"/>
    <col width="13.26953125" customWidth="1" style="55" min="8715" max="8715"/>
    <col width="15.08984375" customWidth="1" style="55" min="8716" max="8716"/>
    <col width="8.7265625" customWidth="1" style="55" min="8717" max="8961"/>
    <col width="5" customWidth="1" style="55" min="8962" max="8962"/>
    <col width="4.26953125" customWidth="1" style="55" min="8963" max="8963"/>
    <col width="5.453125" customWidth="1" style="55" min="8964" max="8964"/>
    <col width="8.7265625" customWidth="1" style="55" min="8965" max="8965"/>
    <col width="20.08984375" customWidth="1" style="55" min="8966" max="8966"/>
    <col width="37" customWidth="1" style="55" min="8967" max="8967"/>
    <col width="10" customWidth="1" style="55" min="8968" max="8968"/>
    <col width="12.7265625" customWidth="1" style="55" min="8969" max="8969"/>
    <col width="11.08984375" customWidth="1" style="55" min="8970" max="8970"/>
    <col width="13.26953125" customWidth="1" style="55" min="8971" max="8971"/>
    <col width="15.08984375" customWidth="1" style="55" min="8972" max="8972"/>
    <col width="8.7265625" customWidth="1" style="55" min="8973" max="9217"/>
    <col width="5" customWidth="1" style="55" min="9218" max="9218"/>
    <col width="4.26953125" customWidth="1" style="55" min="9219" max="9219"/>
    <col width="5.453125" customWidth="1" style="55" min="9220" max="9220"/>
    <col width="8.7265625" customWidth="1" style="55" min="9221" max="9221"/>
    <col width="20.08984375" customWidth="1" style="55" min="9222" max="9222"/>
    <col width="37" customWidth="1" style="55" min="9223" max="9223"/>
    <col width="10" customWidth="1" style="55" min="9224" max="9224"/>
    <col width="12.7265625" customWidth="1" style="55" min="9225" max="9225"/>
    <col width="11.08984375" customWidth="1" style="55" min="9226" max="9226"/>
    <col width="13.26953125" customWidth="1" style="55" min="9227" max="9227"/>
    <col width="15.08984375" customWidth="1" style="55" min="9228" max="9228"/>
    <col width="8.7265625" customWidth="1" style="55" min="9229" max="9473"/>
    <col width="5" customWidth="1" style="55" min="9474" max="9474"/>
    <col width="4.26953125" customWidth="1" style="55" min="9475" max="9475"/>
    <col width="5.453125" customWidth="1" style="55" min="9476" max="9476"/>
    <col width="8.7265625" customWidth="1" style="55" min="9477" max="9477"/>
    <col width="20.08984375" customWidth="1" style="55" min="9478" max="9478"/>
    <col width="37" customWidth="1" style="55" min="9479" max="9479"/>
    <col width="10" customWidth="1" style="55" min="9480" max="9480"/>
    <col width="12.7265625" customWidth="1" style="55" min="9481" max="9481"/>
    <col width="11.08984375" customWidth="1" style="55" min="9482" max="9482"/>
    <col width="13.26953125" customWidth="1" style="55" min="9483" max="9483"/>
    <col width="15.08984375" customWidth="1" style="55" min="9484" max="9484"/>
    <col width="8.7265625" customWidth="1" style="55" min="9485" max="9729"/>
    <col width="5" customWidth="1" style="55" min="9730" max="9730"/>
    <col width="4.26953125" customWidth="1" style="55" min="9731" max="9731"/>
    <col width="5.453125" customWidth="1" style="55" min="9732" max="9732"/>
    <col width="8.7265625" customWidth="1" style="55" min="9733" max="9733"/>
    <col width="20.08984375" customWidth="1" style="55" min="9734" max="9734"/>
    <col width="37" customWidth="1" style="55" min="9735" max="9735"/>
    <col width="10" customWidth="1" style="55" min="9736" max="9736"/>
    <col width="12.7265625" customWidth="1" style="55" min="9737" max="9737"/>
    <col width="11.08984375" customWidth="1" style="55" min="9738" max="9738"/>
    <col width="13.26953125" customWidth="1" style="55" min="9739" max="9739"/>
    <col width="15.08984375" customWidth="1" style="55" min="9740" max="9740"/>
    <col width="8.7265625" customWidth="1" style="55" min="9741" max="9985"/>
    <col width="5" customWidth="1" style="55" min="9986" max="9986"/>
    <col width="4.26953125" customWidth="1" style="55" min="9987" max="9987"/>
    <col width="5.453125" customWidth="1" style="55" min="9988" max="9988"/>
    <col width="8.7265625" customWidth="1" style="55" min="9989" max="9989"/>
    <col width="20.08984375" customWidth="1" style="55" min="9990" max="9990"/>
    <col width="37" customWidth="1" style="55" min="9991" max="9991"/>
    <col width="10" customWidth="1" style="55" min="9992" max="9992"/>
    <col width="12.7265625" customWidth="1" style="55" min="9993" max="9993"/>
    <col width="11.08984375" customWidth="1" style="55" min="9994" max="9994"/>
    <col width="13.26953125" customWidth="1" style="55" min="9995" max="9995"/>
    <col width="15.08984375" customWidth="1" style="55" min="9996" max="9996"/>
    <col width="8.7265625" customWidth="1" style="55" min="9997" max="10241"/>
    <col width="5" customWidth="1" style="55" min="10242" max="10242"/>
    <col width="4.26953125" customWidth="1" style="55" min="10243" max="10243"/>
    <col width="5.453125" customWidth="1" style="55" min="10244" max="10244"/>
    <col width="8.7265625" customWidth="1" style="55" min="10245" max="10245"/>
    <col width="20.08984375" customWidth="1" style="55" min="10246" max="10246"/>
    <col width="37" customWidth="1" style="55" min="10247" max="10247"/>
    <col width="10" customWidth="1" style="55" min="10248" max="10248"/>
    <col width="12.7265625" customWidth="1" style="55" min="10249" max="10249"/>
    <col width="11.08984375" customWidth="1" style="55" min="10250" max="10250"/>
    <col width="13.26953125" customWidth="1" style="55" min="10251" max="10251"/>
    <col width="15.08984375" customWidth="1" style="55" min="10252" max="10252"/>
    <col width="8.7265625" customWidth="1" style="55" min="10253" max="10497"/>
    <col width="5" customWidth="1" style="55" min="10498" max="10498"/>
    <col width="4.26953125" customWidth="1" style="55" min="10499" max="10499"/>
    <col width="5.453125" customWidth="1" style="55" min="10500" max="10500"/>
    <col width="8.7265625" customWidth="1" style="55" min="10501" max="10501"/>
    <col width="20.08984375" customWidth="1" style="55" min="10502" max="10502"/>
    <col width="37" customWidth="1" style="55" min="10503" max="10503"/>
    <col width="10" customWidth="1" style="55" min="10504" max="10504"/>
    <col width="12.7265625" customWidth="1" style="55" min="10505" max="10505"/>
    <col width="11.08984375" customWidth="1" style="55" min="10506" max="10506"/>
    <col width="13.26953125" customWidth="1" style="55" min="10507" max="10507"/>
    <col width="15.08984375" customWidth="1" style="55" min="10508" max="10508"/>
    <col width="8.7265625" customWidth="1" style="55" min="10509" max="10753"/>
    <col width="5" customWidth="1" style="55" min="10754" max="10754"/>
    <col width="4.26953125" customWidth="1" style="55" min="10755" max="10755"/>
    <col width="5.453125" customWidth="1" style="55" min="10756" max="10756"/>
    <col width="8.7265625" customWidth="1" style="55" min="10757" max="10757"/>
    <col width="20.08984375" customWidth="1" style="55" min="10758" max="10758"/>
    <col width="37" customWidth="1" style="55" min="10759" max="10759"/>
    <col width="10" customWidth="1" style="55" min="10760" max="10760"/>
    <col width="12.7265625" customWidth="1" style="55" min="10761" max="10761"/>
    <col width="11.08984375" customWidth="1" style="55" min="10762" max="10762"/>
    <col width="13.26953125" customWidth="1" style="55" min="10763" max="10763"/>
    <col width="15.08984375" customWidth="1" style="55" min="10764" max="10764"/>
    <col width="8.7265625" customWidth="1" style="55" min="10765" max="11009"/>
    <col width="5" customWidth="1" style="55" min="11010" max="11010"/>
    <col width="4.26953125" customWidth="1" style="55" min="11011" max="11011"/>
    <col width="5.453125" customWidth="1" style="55" min="11012" max="11012"/>
    <col width="8.7265625" customWidth="1" style="55" min="11013" max="11013"/>
    <col width="20.08984375" customWidth="1" style="55" min="11014" max="11014"/>
    <col width="37" customWidth="1" style="55" min="11015" max="11015"/>
    <col width="10" customWidth="1" style="55" min="11016" max="11016"/>
    <col width="12.7265625" customWidth="1" style="55" min="11017" max="11017"/>
    <col width="11.08984375" customWidth="1" style="55" min="11018" max="11018"/>
    <col width="13.26953125" customWidth="1" style="55" min="11019" max="11019"/>
    <col width="15.08984375" customWidth="1" style="55" min="11020" max="11020"/>
    <col width="8.7265625" customWidth="1" style="55" min="11021" max="11265"/>
    <col width="5" customWidth="1" style="55" min="11266" max="11266"/>
    <col width="4.26953125" customWidth="1" style="55" min="11267" max="11267"/>
    <col width="5.453125" customWidth="1" style="55" min="11268" max="11268"/>
    <col width="8.7265625" customWidth="1" style="55" min="11269" max="11269"/>
    <col width="20.08984375" customWidth="1" style="55" min="11270" max="11270"/>
    <col width="37" customWidth="1" style="55" min="11271" max="11271"/>
    <col width="10" customWidth="1" style="55" min="11272" max="11272"/>
    <col width="12.7265625" customWidth="1" style="55" min="11273" max="11273"/>
    <col width="11.08984375" customWidth="1" style="55" min="11274" max="11274"/>
    <col width="13.26953125" customWidth="1" style="55" min="11275" max="11275"/>
    <col width="15.08984375" customWidth="1" style="55" min="11276" max="11276"/>
    <col width="8.7265625" customWidth="1" style="55" min="11277" max="11521"/>
    <col width="5" customWidth="1" style="55" min="11522" max="11522"/>
    <col width="4.26953125" customWidth="1" style="55" min="11523" max="11523"/>
    <col width="5.453125" customWidth="1" style="55" min="11524" max="11524"/>
    <col width="8.7265625" customWidth="1" style="55" min="11525" max="11525"/>
    <col width="20.08984375" customWidth="1" style="55" min="11526" max="11526"/>
    <col width="37" customWidth="1" style="55" min="11527" max="11527"/>
    <col width="10" customWidth="1" style="55" min="11528" max="11528"/>
    <col width="12.7265625" customWidth="1" style="55" min="11529" max="11529"/>
    <col width="11.08984375" customWidth="1" style="55" min="11530" max="11530"/>
    <col width="13.26953125" customWidth="1" style="55" min="11531" max="11531"/>
    <col width="15.08984375" customWidth="1" style="55" min="11532" max="11532"/>
    <col width="8.7265625" customWidth="1" style="55" min="11533" max="11777"/>
    <col width="5" customWidth="1" style="55" min="11778" max="11778"/>
    <col width="4.26953125" customWidth="1" style="55" min="11779" max="11779"/>
    <col width="5.453125" customWidth="1" style="55" min="11780" max="11780"/>
    <col width="8.7265625" customWidth="1" style="55" min="11781" max="11781"/>
    <col width="20.08984375" customWidth="1" style="55" min="11782" max="11782"/>
    <col width="37" customWidth="1" style="55" min="11783" max="11783"/>
    <col width="10" customWidth="1" style="55" min="11784" max="11784"/>
    <col width="12.7265625" customWidth="1" style="55" min="11785" max="11785"/>
    <col width="11.08984375" customWidth="1" style="55" min="11786" max="11786"/>
    <col width="13.26953125" customWidth="1" style="55" min="11787" max="11787"/>
    <col width="15.08984375" customWidth="1" style="55" min="11788" max="11788"/>
    <col width="8.7265625" customWidth="1" style="55" min="11789" max="12033"/>
    <col width="5" customWidth="1" style="55" min="12034" max="12034"/>
    <col width="4.26953125" customWidth="1" style="55" min="12035" max="12035"/>
    <col width="5.453125" customWidth="1" style="55" min="12036" max="12036"/>
    <col width="8.7265625" customWidth="1" style="55" min="12037" max="12037"/>
    <col width="20.08984375" customWidth="1" style="55" min="12038" max="12038"/>
    <col width="37" customWidth="1" style="55" min="12039" max="12039"/>
    <col width="10" customWidth="1" style="55" min="12040" max="12040"/>
    <col width="12.7265625" customWidth="1" style="55" min="12041" max="12041"/>
    <col width="11.08984375" customWidth="1" style="55" min="12042" max="12042"/>
    <col width="13.26953125" customWidth="1" style="55" min="12043" max="12043"/>
    <col width="15.08984375" customWidth="1" style="55" min="12044" max="12044"/>
    <col width="8.7265625" customWidth="1" style="55" min="12045" max="12289"/>
    <col width="5" customWidth="1" style="55" min="12290" max="12290"/>
    <col width="4.26953125" customWidth="1" style="55" min="12291" max="12291"/>
    <col width="5.453125" customWidth="1" style="55" min="12292" max="12292"/>
    <col width="8.7265625" customWidth="1" style="55" min="12293" max="12293"/>
    <col width="20.08984375" customWidth="1" style="55" min="12294" max="12294"/>
    <col width="37" customWidth="1" style="55" min="12295" max="12295"/>
    <col width="10" customWidth="1" style="55" min="12296" max="12296"/>
    <col width="12.7265625" customWidth="1" style="55" min="12297" max="12297"/>
    <col width="11.08984375" customWidth="1" style="55" min="12298" max="12298"/>
    <col width="13.26953125" customWidth="1" style="55" min="12299" max="12299"/>
    <col width="15.08984375" customWidth="1" style="55" min="12300" max="12300"/>
    <col width="8.7265625" customWidth="1" style="55" min="12301" max="12545"/>
    <col width="5" customWidth="1" style="55" min="12546" max="12546"/>
    <col width="4.26953125" customWidth="1" style="55" min="12547" max="12547"/>
    <col width="5.453125" customWidth="1" style="55" min="12548" max="12548"/>
    <col width="8.7265625" customWidth="1" style="55" min="12549" max="12549"/>
    <col width="20.08984375" customWidth="1" style="55" min="12550" max="12550"/>
    <col width="37" customWidth="1" style="55" min="12551" max="12551"/>
    <col width="10" customWidth="1" style="55" min="12552" max="12552"/>
    <col width="12.7265625" customWidth="1" style="55" min="12553" max="12553"/>
    <col width="11.08984375" customWidth="1" style="55" min="12554" max="12554"/>
    <col width="13.26953125" customWidth="1" style="55" min="12555" max="12555"/>
    <col width="15.08984375" customWidth="1" style="55" min="12556" max="12556"/>
    <col width="8.7265625" customWidth="1" style="55" min="12557" max="12801"/>
    <col width="5" customWidth="1" style="55" min="12802" max="12802"/>
    <col width="4.26953125" customWidth="1" style="55" min="12803" max="12803"/>
    <col width="5.453125" customWidth="1" style="55" min="12804" max="12804"/>
    <col width="8.7265625" customWidth="1" style="55" min="12805" max="12805"/>
    <col width="20.08984375" customWidth="1" style="55" min="12806" max="12806"/>
    <col width="37" customWidth="1" style="55" min="12807" max="12807"/>
    <col width="10" customWidth="1" style="55" min="12808" max="12808"/>
    <col width="12.7265625" customWidth="1" style="55" min="12809" max="12809"/>
    <col width="11.08984375" customWidth="1" style="55" min="12810" max="12810"/>
    <col width="13.26953125" customWidth="1" style="55" min="12811" max="12811"/>
    <col width="15.08984375" customWidth="1" style="55" min="12812" max="12812"/>
    <col width="8.7265625" customWidth="1" style="55" min="12813" max="13057"/>
    <col width="5" customWidth="1" style="55" min="13058" max="13058"/>
    <col width="4.26953125" customWidth="1" style="55" min="13059" max="13059"/>
    <col width="5.453125" customWidth="1" style="55" min="13060" max="13060"/>
    <col width="8.7265625" customWidth="1" style="55" min="13061" max="13061"/>
    <col width="20.08984375" customWidth="1" style="55" min="13062" max="13062"/>
    <col width="37" customWidth="1" style="55" min="13063" max="13063"/>
    <col width="10" customWidth="1" style="55" min="13064" max="13064"/>
    <col width="12.7265625" customWidth="1" style="55" min="13065" max="13065"/>
    <col width="11.08984375" customWidth="1" style="55" min="13066" max="13066"/>
    <col width="13.26953125" customWidth="1" style="55" min="13067" max="13067"/>
    <col width="15.08984375" customWidth="1" style="55" min="13068" max="13068"/>
    <col width="8.7265625" customWidth="1" style="55" min="13069" max="13313"/>
    <col width="5" customWidth="1" style="55" min="13314" max="13314"/>
    <col width="4.26953125" customWidth="1" style="55" min="13315" max="13315"/>
    <col width="5.453125" customWidth="1" style="55" min="13316" max="13316"/>
    <col width="8.7265625" customWidth="1" style="55" min="13317" max="13317"/>
    <col width="20.08984375" customWidth="1" style="55" min="13318" max="13318"/>
    <col width="37" customWidth="1" style="55" min="13319" max="13319"/>
    <col width="10" customWidth="1" style="55" min="13320" max="13320"/>
    <col width="12.7265625" customWidth="1" style="55" min="13321" max="13321"/>
    <col width="11.08984375" customWidth="1" style="55" min="13322" max="13322"/>
    <col width="13.26953125" customWidth="1" style="55" min="13323" max="13323"/>
    <col width="15.08984375" customWidth="1" style="55" min="13324" max="13324"/>
    <col width="8.7265625" customWidth="1" style="55" min="13325" max="13569"/>
    <col width="5" customWidth="1" style="55" min="13570" max="13570"/>
    <col width="4.26953125" customWidth="1" style="55" min="13571" max="13571"/>
    <col width="5.453125" customWidth="1" style="55" min="13572" max="13572"/>
    <col width="8.7265625" customWidth="1" style="55" min="13573" max="13573"/>
    <col width="20.08984375" customWidth="1" style="55" min="13574" max="13574"/>
    <col width="37" customWidth="1" style="55" min="13575" max="13575"/>
    <col width="10" customWidth="1" style="55" min="13576" max="13576"/>
    <col width="12.7265625" customWidth="1" style="55" min="13577" max="13577"/>
    <col width="11.08984375" customWidth="1" style="55" min="13578" max="13578"/>
    <col width="13.26953125" customWidth="1" style="55" min="13579" max="13579"/>
    <col width="15.08984375" customWidth="1" style="55" min="13580" max="13580"/>
    <col width="8.7265625" customWidth="1" style="55" min="13581" max="13825"/>
    <col width="5" customWidth="1" style="55" min="13826" max="13826"/>
    <col width="4.26953125" customWidth="1" style="55" min="13827" max="13827"/>
    <col width="5.453125" customWidth="1" style="55" min="13828" max="13828"/>
    <col width="8.7265625" customWidth="1" style="55" min="13829" max="13829"/>
    <col width="20.08984375" customWidth="1" style="55" min="13830" max="13830"/>
    <col width="37" customWidth="1" style="55" min="13831" max="13831"/>
    <col width="10" customWidth="1" style="55" min="13832" max="13832"/>
    <col width="12.7265625" customWidth="1" style="55" min="13833" max="13833"/>
    <col width="11.08984375" customWidth="1" style="55" min="13834" max="13834"/>
    <col width="13.26953125" customWidth="1" style="55" min="13835" max="13835"/>
    <col width="15.08984375" customWidth="1" style="55" min="13836" max="13836"/>
    <col width="8.7265625" customWidth="1" style="55" min="13837" max="14081"/>
    <col width="5" customWidth="1" style="55" min="14082" max="14082"/>
    <col width="4.26953125" customWidth="1" style="55" min="14083" max="14083"/>
    <col width="5.453125" customWidth="1" style="55" min="14084" max="14084"/>
    <col width="8.7265625" customWidth="1" style="55" min="14085" max="14085"/>
    <col width="20.08984375" customWidth="1" style="55" min="14086" max="14086"/>
    <col width="37" customWidth="1" style="55" min="14087" max="14087"/>
    <col width="10" customWidth="1" style="55" min="14088" max="14088"/>
    <col width="12.7265625" customWidth="1" style="55" min="14089" max="14089"/>
    <col width="11.08984375" customWidth="1" style="55" min="14090" max="14090"/>
    <col width="13.26953125" customWidth="1" style="55" min="14091" max="14091"/>
    <col width="15.08984375" customWidth="1" style="55" min="14092" max="14092"/>
    <col width="8.7265625" customWidth="1" style="55" min="14093" max="14337"/>
    <col width="5" customWidth="1" style="55" min="14338" max="14338"/>
    <col width="4.26953125" customWidth="1" style="55" min="14339" max="14339"/>
    <col width="5.453125" customWidth="1" style="55" min="14340" max="14340"/>
    <col width="8.7265625" customWidth="1" style="55" min="14341" max="14341"/>
    <col width="20.08984375" customWidth="1" style="55" min="14342" max="14342"/>
    <col width="37" customWidth="1" style="55" min="14343" max="14343"/>
    <col width="10" customWidth="1" style="55" min="14344" max="14344"/>
    <col width="12.7265625" customWidth="1" style="55" min="14345" max="14345"/>
    <col width="11.08984375" customWidth="1" style="55" min="14346" max="14346"/>
    <col width="13.26953125" customWidth="1" style="55" min="14347" max="14347"/>
    <col width="15.08984375" customWidth="1" style="55" min="14348" max="14348"/>
    <col width="8.7265625" customWidth="1" style="55" min="14349" max="14593"/>
    <col width="5" customWidth="1" style="55" min="14594" max="14594"/>
    <col width="4.26953125" customWidth="1" style="55" min="14595" max="14595"/>
    <col width="5.453125" customWidth="1" style="55" min="14596" max="14596"/>
    <col width="8.7265625" customWidth="1" style="55" min="14597" max="14597"/>
    <col width="20.08984375" customWidth="1" style="55" min="14598" max="14598"/>
    <col width="37" customWidth="1" style="55" min="14599" max="14599"/>
    <col width="10" customWidth="1" style="55" min="14600" max="14600"/>
    <col width="12.7265625" customWidth="1" style="55" min="14601" max="14601"/>
    <col width="11.08984375" customWidth="1" style="55" min="14602" max="14602"/>
    <col width="13.26953125" customWidth="1" style="55" min="14603" max="14603"/>
    <col width="15.08984375" customWidth="1" style="55" min="14604" max="14604"/>
    <col width="8.7265625" customWidth="1" style="55" min="14605" max="14849"/>
    <col width="5" customWidth="1" style="55" min="14850" max="14850"/>
    <col width="4.26953125" customWidth="1" style="55" min="14851" max="14851"/>
    <col width="5.453125" customWidth="1" style="55" min="14852" max="14852"/>
    <col width="8.7265625" customWidth="1" style="55" min="14853" max="14853"/>
    <col width="20.08984375" customWidth="1" style="55" min="14854" max="14854"/>
    <col width="37" customWidth="1" style="55" min="14855" max="14855"/>
    <col width="10" customWidth="1" style="55" min="14856" max="14856"/>
    <col width="12.7265625" customWidth="1" style="55" min="14857" max="14857"/>
    <col width="11.08984375" customWidth="1" style="55" min="14858" max="14858"/>
    <col width="13.26953125" customWidth="1" style="55" min="14859" max="14859"/>
    <col width="15.08984375" customWidth="1" style="55" min="14860" max="14860"/>
    <col width="8.7265625" customWidth="1" style="55" min="14861" max="15105"/>
    <col width="5" customWidth="1" style="55" min="15106" max="15106"/>
    <col width="4.26953125" customWidth="1" style="55" min="15107" max="15107"/>
    <col width="5.453125" customWidth="1" style="55" min="15108" max="15108"/>
    <col width="8.7265625" customWidth="1" style="55" min="15109" max="15109"/>
    <col width="20.08984375" customWidth="1" style="55" min="15110" max="15110"/>
    <col width="37" customWidth="1" style="55" min="15111" max="15111"/>
    <col width="10" customWidth="1" style="55" min="15112" max="15112"/>
    <col width="12.7265625" customWidth="1" style="55" min="15113" max="15113"/>
    <col width="11.08984375" customWidth="1" style="55" min="15114" max="15114"/>
    <col width="13.26953125" customWidth="1" style="55" min="15115" max="15115"/>
    <col width="15.08984375" customWidth="1" style="55" min="15116" max="15116"/>
    <col width="8.7265625" customWidth="1" style="55" min="15117" max="15361"/>
    <col width="5" customWidth="1" style="55" min="15362" max="15362"/>
    <col width="4.26953125" customWidth="1" style="55" min="15363" max="15363"/>
    <col width="5.453125" customWidth="1" style="55" min="15364" max="15364"/>
    <col width="8.7265625" customWidth="1" style="55" min="15365" max="15365"/>
    <col width="20.08984375" customWidth="1" style="55" min="15366" max="15366"/>
    <col width="37" customWidth="1" style="55" min="15367" max="15367"/>
    <col width="10" customWidth="1" style="55" min="15368" max="15368"/>
    <col width="12.7265625" customWidth="1" style="55" min="15369" max="15369"/>
    <col width="11.08984375" customWidth="1" style="55" min="15370" max="15370"/>
    <col width="13.26953125" customWidth="1" style="55" min="15371" max="15371"/>
    <col width="15.08984375" customWidth="1" style="55" min="15372" max="15372"/>
    <col width="8.7265625" customWidth="1" style="55" min="15373" max="15617"/>
    <col width="5" customWidth="1" style="55" min="15618" max="15618"/>
    <col width="4.26953125" customWidth="1" style="55" min="15619" max="15619"/>
    <col width="5.453125" customWidth="1" style="55" min="15620" max="15620"/>
    <col width="8.7265625" customWidth="1" style="55" min="15621" max="15621"/>
    <col width="20.08984375" customWidth="1" style="55" min="15622" max="15622"/>
    <col width="37" customWidth="1" style="55" min="15623" max="15623"/>
    <col width="10" customWidth="1" style="55" min="15624" max="15624"/>
    <col width="12.7265625" customWidth="1" style="55" min="15625" max="15625"/>
    <col width="11.08984375" customWidth="1" style="55" min="15626" max="15626"/>
    <col width="13.26953125" customWidth="1" style="55" min="15627" max="15627"/>
    <col width="15.08984375" customWidth="1" style="55" min="15628" max="15628"/>
    <col width="8.7265625" customWidth="1" style="55" min="15629" max="15873"/>
    <col width="5" customWidth="1" style="55" min="15874" max="15874"/>
    <col width="4.26953125" customWidth="1" style="55" min="15875" max="15875"/>
    <col width="5.453125" customWidth="1" style="55" min="15876" max="15876"/>
    <col width="8.7265625" customWidth="1" style="55" min="15877" max="15877"/>
    <col width="20.08984375" customWidth="1" style="55" min="15878" max="15878"/>
    <col width="37" customWidth="1" style="55" min="15879" max="15879"/>
    <col width="10" customWidth="1" style="55" min="15880" max="15880"/>
    <col width="12.7265625" customWidth="1" style="55" min="15881" max="15881"/>
    <col width="11.08984375" customWidth="1" style="55" min="15882" max="15882"/>
    <col width="13.26953125" customWidth="1" style="55" min="15883" max="15883"/>
    <col width="15.08984375" customWidth="1" style="55" min="15884" max="15884"/>
    <col width="8.7265625" customWidth="1" style="55" min="15885" max="16129"/>
    <col width="5" customWidth="1" style="55" min="16130" max="16130"/>
    <col width="4.26953125" customWidth="1" style="55" min="16131" max="16131"/>
    <col width="5.453125" customWidth="1" style="55" min="16132" max="16132"/>
    <col width="8.7265625" customWidth="1" style="55" min="16133" max="16133"/>
    <col width="20.08984375" customWidth="1" style="55" min="16134" max="16134"/>
    <col width="37" customWidth="1" style="55" min="16135" max="16135"/>
    <col width="10" customWidth="1" style="55" min="16136" max="16136"/>
    <col width="12.7265625" customWidth="1" style="55" min="16137" max="16137"/>
    <col width="11.08984375" customWidth="1" style="55" min="16138" max="16138"/>
    <col width="13.26953125" customWidth="1" style="55" min="16139" max="16139"/>
    <col width="15.08984375" customWidth="1" style="55" min="16140" max="16140"/>
    <col width="8.7265625" customWidth="1" style="55" min="16141" max="16384"/>
  </cols>
  <sheetData>
    <row r="1" ht="25" customFormat="1" customHeight="1" s="1">
      <c r="A1" s="110" t="inlineStr">
        <is>
          <t>COMART CORPORATION</t>
        </is>
      </c>
    </row>
    <row r="2" ht="25" customFormat="1" customHeight="1" s="1">
      <c r="A2" s="111" t="inlineStr">
        <is>
          <t>TEL:+886-2-89111133   FAX:+886-2-86653056</t>
        </is>
      </c>
    </row>
    <row r="3" ht="25" customFormat="1" customHeight="1" s="1">
      <c r="A3" s="111" t="inlineStr">
        <is>
          <t>3F., No.12, Lane 235, Baociao Rd., Sindian Dist, New Taipei City 23145, Taiwan, R.O.C.</t>
        </is>
      </c>
    </row>
    <row r="4" ht="25" customFormat="1" customHeight="1" s="1">
      <c r="A4" s="112" t="inlineStr">
        <is>
          <t>PACKING LIST</t>
        </is>
      </c>
    </row>
    <row r="5" ht="23.15" customFormat="1" customHeight="1" s="1">
      <c r="A5" s="2" t="inlineStr">
        <is>
          <t>CONSIGNEE: SCOSCHE INDUSTRIES INC.</t>
        </is>
      </c>
      <c r="B5" s="2" t="n"/>
      <c r="C5" s="2" t="n"/>
      <c r="D5" s="122" t="n"/>
      <c r="E5" s="122" t="n"/>
      <c r="F5" s="4" t="n"/>
      <c r="G5" s="2" t="n"/>
      <c r="H5" s="2" t="n"/>
      <c r="I5" s="2" t="n"/>
      <c r="K5" s="2" t="n"/>
      <c r="L5" s="123" t="n"/>
    </row>
    <row r="6" ht="23.15" customFormat="1" customHeight="1" s="1">
      <c r="A6" s="2" t="inlineStr">
        <is>
          <t>SHIP TO: 188 COMMERCE WAY, SPRUCE PINE, AL 35585-4138 , USA</t>
        </is>
      </c>
      <c r="B6" s="2" t="n"/>
      <c r="C6" s="2" t="n"/>
      <c r="D6" s="122" t="n"/>
      <c r="E6" s="122" t="n"/>
      <c r="F6" s="4" t="n"/>
      <c r="G6" s="2" t="n"/>
      <c r="H6" s="2" t="n"/>
      <c r="I6" s="123" t="n"/>
      <c r="J6" s="123" t="n"/>
      <c r="K6" s="123" t="n"/>
    </row>
    <row r="7" ht="23.15" customFormat="1" customHeight="1" s="1">
      <c r="A7" s="2" t="inlineStr">
        <is>
          <t>ATTN: SCOTT MONTGOMERY</t>
        </is>
      </c>
      <c r="B7" s="2" t="n"/>
      <c r="C7" s="2" t="n"/>
      <c r="D7" s="122" t="n"/>
      <c r="E7" s="122" t="n"/>
      <c r="F7" s="4" t="n"/>
      <c r="G7" s="2" t="n"/>
      <c r="H7" s="2" t="n"/>
      <c r="I7" s="123" t="n"/>
      <c r="J7" s="123" t="inlineStr">
        <is>
          <t xml:space="preserve">INV: </t>
        </is>
      </c>
      <c r="K7" s="124" t="n"/>
    </row>
    <row r="8" ht="23.15" customFormat="1" customHeight="1" s="1">
      <c r="A8" s="2" t="inlineStr">
        <is>
          <t>EIN: 95-3659275</t>
        </is>
      </c>
      <c r="B8" s="2" t="n"/>
      <c r="C8" s="2" t="n"/>
      <c r="D8" s="122" t="n"/>
      <c r="E8" s="122" t="n"/>
      <c r="F8" s="4" t="n"/>
      <c r="G8" s="2" t="n"/>
      <c r="H8" s="2" t="n"/>
      <c r="I8" s="124" t="n"/>
      <c r="J8" s="124" t="inlineStr">
        <is>
          <t>PO: 163031</t>
        </is>
      </c>
      <c r="K8" s="124" t="n"/>
    </row>
    <row r="9" ht="23.15" customFormat="1" customHeight="1" s="1">
      <c r="A9" s="2" t="inlineStr">
        <is>
          <t>TEL: 256-277-0045</t>
        </is>
      </c>
      <c r="B9" s="2" t="n"/>
      <c r="C9" s="2" t="n"/>
      <c r="D9" s="122" t="n"/>
      <c r="E9" s="122" t="n"/>
      <c r="F9" s="4" t="n"/>
      <c r="G9" s="2" t="n"/>
      <c r="H9" s="2" t="n"/>
      <c r="I9" s="124" t="n"/>
      <c r="J9" s="124" t="inlineStr">
        <is>
          <t>PRINT AT: 2026-06-24</t>
        </is>
      </c>
      <c r="K9" s="124" t="n"/>
    </row>
    <row r="10" ht="23.15" customFormat="1" customHeight="1" s="1" thickBot="1">
      <c r="A10" s="2" t="inlineStr">
        <is>
          <t>PAYMENT TERM: T/T NET ETD 75DAYS</t>
        </is>
      </c>
      <c r="B10" s="2" t="n"/>
      <c r="C10" s="2" t="n"/>
      <c r="D10" s="122" t="n"/>
      <c r="E10" s="122" t="n"/>
      <c r="F10" s="4" t="n"/>
      <c r="G10" s="2" t="n"/>
      <c r="H10" s="2" t="n"/>
      <c r="I10" s="124" t="n"/>
      <c r="J10" s="124" t="inlineStr">
        <is>
          <t>CURRENCY: USD</t>
        </is>
      </c>
      <c r="K10" s="124" t="n"/>
    </row>
    <row r="11" ht="18" customFormat="1" customHeight="1" s="1" thickBot="1" thickTop="1">
      <c r="A11" s="114" t="inlineStr">
        <is>
          <t>CTN #</t>
        </is>
      </c>
      <c r="B11" s="125" t="n"/>
      <c r="C11" s="126" t="n"/>
      <c r="D11" s="7" t="inlineStr">
        <is>
          <t># of CTNS</t>
        </is>
      </c>
      <c r="E11" s="114" t="inlineStr">
        <is>
          <t>PO#</t>
        </is>
      </c>
      <c r="F11" s="114" t="inlineStr">
        <is>
          <t>Item No</t>
        </is>
      </c>
      <c r="G11" s="8" t="inlineStr">
        <is>
          <t>Description</t>
        </is>
      </c>
      <c r="H11" s="8" t="inlineStr">
        <is>
          <t>Quantity</t>
        </is>
      </c>
      <c r="I11" s="8" t="inlineStr">
        <is>
          <t>Dimension(CM)</t>
        </is>
      </c>
      <c r="J11" s="127" t="inlineStr">
        <is>
          <t>CBM/CTN</t>
        </is>
      </c>
      <c r="K11" s="128" t="inlineStr">
        <is>
          <t>N.W. (KGS)</t>
        </is>
      </c>
      <c r="L11" s="129" t="inlineStr">
        <is>
          <t>G.W.(KGS)</t>
        </is>
      </c>
    </row>
    <row r="12" ht="39.75" customFormat="1" customHeight="1" s="13" thickTop="1">
      <c r="A12" s="102" t="inlineStr">
        <is>
          <t>1</t>
        </is>
      </c>
      <c r="B12" s="96" t="inlineStr">
        <is>
          <t>-</t>
        </is>
      </c>
      <c r="C12" s="103" t="inlineStr">
        <is>
          <t>25</t>
        </is>
      </c>
      <c r="D12" s="130">
        <f>C12-A12+1</f>
        <v/>
      </c>
      <c r="E12" s="105" t="inlineStr">
        <is>
          <t>163031</t>
        </is>
      </c>
      <c r="F12" s="105" t="inlineStr">
        <is>
          <t>8SHB130231</t>
        </is>
      </c>
      <c r="G12" s="106" t="inlineStr">
        <is>
          <t>0266SMS2DV-SP;MS Dash/Vent Mount</t>
        </is>
      </c>
      <c r="H12" s="131" t="n">
        <v>80</v>
      </c>
      <c r="I12" s="131" t="inlineStr">
        <is>
          <t>47*37.5*39.5</t>
        </is>
      </c>
      <c r="J12" s="132">
        <f>47*37.5*39.5/1000000</f>
        <v/>
      </c>
      <c r="K12" s="133" t="n">
        <v>5.6</v>
      </c>
      <c r="L12" s="134" t="n">
        <v>12.1</v>
      </c>
      <c r="M12" s="107" t="inlineStr">
        <is>
          <t>
</t>
        </is>
      </c>
    </row>
    <row r="13" ht="21.75" customFormat="1" customHeight="1" s="13">
      <c r="A13" s="97" t="n"/>
      <c r="B13" s="97" t="n"/>
      <c r="C13" s="14" t="n"/>
      <c r="D13" s="135" t="n"/>
      <c r="E13" s="136" t="n"/>
      <c r="F13" s="95" t="n"/>
      <c r="G13" s="87" t="inlineStr">
        <is>
          <t>SUBTOTAL:</t>
        </is>
      </c>
      <c r="H13" s="137">
        <f>H12*D12</f>
        <v/>
      </c>
      <c r="I13" s="137" t="n"/>
      <c r="J13" s="132">
        <f>J12*D12</f>
        <v/>
      </c>
      <c r="K13" s="138">
        <f>K12*D12</f>
        <v/>
      </c>
      <c r="L13" s="139">
        <f>L12*D12</f>
        <v/>
      </c>
    </row>
    <row r="14" ht="20.15" customFormat="1" customHeight="1" s="1" thickBot="1">
      <c r="A14" s="102" t="inlineStr">
        <is>
          <t>1</t>
        </is>
      </c>
      <c r="B14" s="96" t="inlineStr">
        <is>
          <t>-</t>
        </is>
      </c>
      <c r="C14" s="103" t="inlineStr">
        <is>
          <t>10</t>
        </is>
      </c>
      <c r="D14" s="130">
        <f>C14-A14+1</f>
        <v/>
      </c>
      <c r="E14" s="105" t="inlineStr">
        <is>
          <t>163031</t>
        </is>
      </c>
      <c r="F14" s="105" t="inlineStr">
        <is>
          <t>8SHB130215</t>
        </is>
      </c>
      <c r="G14" s="106" t="inlineStr">
        <is>
          <t>0266MAGFMI; MAG FLUSH MOUNT (EFIGS) 固定底座</t>
        </is>
      </c>
      <c r="H14" s="131" t="n">
        <v>100</v>
      </c>
      <c r="I14" s="131" t="inlineStr">
        <is>
          <t>46.5*32.5*39</t>
        </is>
      </c>
      <c r="J14" s="132">
        <f>46.5*32.5*39/1000000</f>
        <v/>
      </c>
      <c r="K14" s="138" t="n">
        <v>3.4</v>
      </c>
      <c r="L14" s="139" t="n">
        <v>9.9</v>
      </c>
    </row>
    <row r="15" ht="20.15" customFormat="1" customHeight="1" s="1" thickTop="1">
      <c r="A15" s="97" t="n"/>
      <c r="B15" s="97" t="n"/>
      <c r="C15" s="14" t="n"/>
      <c r="D15" s="135" t="n"/>
      <c r="E15" s="136" t="n"/>
      <c r="F15" s="95" t="n"/>
      <c r="G15" s="87" t="inlineStr">
        <is>
          <t>SUBTOTAL:</t>
        </is>
      </c>
      <c r="H15" s="137">
        <f>H14*D14</f>
        <v/>
      </c>
      <c r="I15" s="137" t="n"/>
      <c r="J15" s="132">
        <f>J14*D14</f>
        <v/>
      </c>
      <c r="K15" s="138">
        <f>K14*D14</f>
        <v/>
      </c>
      <c r="L15" s="139">
        <f>L14*D14</f>
        <v/>
      </c>
    </row>
    <row r="16" ht="20.15" customFormat="1" customHeight="1" s="1">
      <c r="A16" s="102" t="inlineStr">
        <is>
          <t>1</t>
        </is>
      </c>
      <c r="B16" s="96" t="inlineStr">
        <is>
          <t>-</t>
        </is>
      </c>
      <c r="C16" s="103" t="inlineStr">
        <is>
          <t>79</t>
        </is>
      </c>
      <c r="D16" s="130">
        <f>C16-A16+1</f>
        <v/>
      </c>
      <c r="E16" s="105" t="inlineStr">
        <is>
          <t>163031</t>
        </is>
      </c>
      <c r="F16" s="105" t="inlineStr">
        <is>
          <t>8SHB130193</t>
        </is>
      </c>
      <c r="G16" s="106" t="inlineStr">
        <is>
          <t>0266MP2WD-SP1; MAGICMOUNT PRO WIN DASH</t>
        </is>
      </c>
      <c r="H16" s="131" t="n">
        <v>40</v>
      </c>
      <c r="I16" s="131" t="inlineStr">
        <is>
          <t>55*47.5*20.5</t>
        </is>
      </c>
      <c r="J16" s="132">
        <f>55*47.5*20.5/1000000</f>
        <v/>
      </c>
      <c r="K16" s="138" t="n">
        <v>4.7</v>
      </c>
      <c r="L16" s="139" t="n">
        <v>8.9</v>
      </c>
    </row>
    <row r="17" ht="20.15" customFormat="1" customHeight="1" s="1">
      <c r="A17" s="97" t="n"/>
      <c r="B17" s="97" t="n"/>
      <c r="C17" s="14" t="n"/>
      <c r="D17" s="135" t="n"/>
      <c r="E17" s="136" t="n"/>
      <c r="F17" s="95" t="n"/>
      <c r="G17" s="87" t="inlineStr">
        <is>
          <t>SUBTOTAL:</t>
        </is>
      </c>
      <c r="H17" s="137">
        <f>H16*D16</f>
        <v/>
      </c>
      <c r="I17" s="137" t="n"/>
      <c r="J17" s="132">
        <f>J16*D16</f>
        <v/>
      </c>
      <c r="K17" s="138">
        <f>K16*D16</f>
        <v/>
      </c>
      <c r="L17" s="139">
        <f>L16*D16</f>
        <v/>
      </c>
    </row>
    <row r="18" ht="20.15" customFormat="1" customHeight="1" s="1">
      <c r="A18" s="102" t="inlineStr">
        <is>
          <t>1</t>
        </is>
      </c>
      <c r="B18" s="96" t="inlineStr">
        <is>
          <t>-</t>
        </is>
      </c>
      <c r="C18" s="103" t="inlineStr">
        <is>
          <t>34</t>
        </is>
      </c>
      <c r="D18" s="130">
        <f>C18-A18+1</f>
        <v/>
      </c>
      <c r="E18" s="105" t="inlineStr">
        <is>
          <t>163031</t>
        </is>
      </c>
      <c r="F18" s="105" t="inlineStr">
        <is>
          <t>8SHC130014</t>
        </is>
      </c>
      <c r="G18" s="106" t="inlineStr">
        <is>
          <t>0266MAGDMB; MAGIC DASH MOUNT BULK</t>
        </is>
      </c>
      <c r="H18" s="131" t="n">
        <v>150</v>
      </c>
      <c r="I18" s="131" t="inlineStr">
        <is>
          <t>54*40*20.3</t>
        </is>
      </c>
      <c r="J18" s="132">
        <f>54*40*20.3/1000000</f>
        <v/>
      </c>
      <c r="K18" s="138" t="n">
        <v>6.9</v>
      </c>
      <c r="L18" s="139" t="n">
        <v>11.3</v>
      </c>
    </row>
    <row r="19" ht="20.15" customFormat="1" customHeight="1" s="1">
      <c r="A19" s="97" t="n"/>
      <c r="B19" s="97" t="n"/>
      <c r="C19" s="14" t="n"/>
      <c r="D19" s="135" t="n"/>
      <c r="E19" s="136" t="n"/>
      <c r="F19" s="95" t="n"/>
      <c r="G19" s="87" t="inlineStr">
        <is>
          <t>SUBTOTAL:</t>
        </is>
      </c>
      <c r="H19" s="137">
        <f>H18*D18</f>
        <v/>
      </c>
      <c r="I19" s="137" t="n"/>
      <c r="J19" s="132">
        <f>J18*D18</f>
        <v/>
      </c>
      <c r="K19" s="138">
        <f>K18*D18</f>
        <v/>
      </c>
      <c r="L19" s="139">
        <f>L18*D18</f>
        <v/>
      </c>
    </row>
    <row r="20" ht="20.15" customFormat="1" customHeight="1" s="1">
      <c r="A20" s="140" t="inlineStr">
        <is>
          <t>148 CTNS</t>
        </is>
      </c>
      <c r="B20" s="141" t="n"/>
      <c r="C20" s="142" t="n"/>
      <c r="D20" s="143">
        <f>SUM(D12:D13)</f>
        <v/>
      </c>
      <c r="E20" s="16" t="n"/>
      <c r="F20" s="16" t="n"/>
      <c r="G20" s="17" t="inlineStr">
        <is>
          <t>TOTAL:</t>
        </is>
      </c>
      <c r="H20" s="144">
        <f>H13+H15+H17+H19</f>
        <v/>
      </c>
      <c r="I20" s="144" t="n"/>
      <c r="J20" s="145">
        <f>J13+J15+J17+J19</f>
        <v/>
      </c>
      <c r="K20" s="146">
        <f>K13+K15+K17+K19</f>
        <v/>
      </c>
      <c r="L20" s="147">
        <f>L13+L15+L17+L19</f>
        <v/>
      </c>
    </row>
    <row r="21" ht="15.5" customHeight="1">
      <c r="A21" s="22" t="inlineStr">
        <is>
          <t>REMARK:</t>
        </is>
      </c>
      <c r="B21" s="23" t="n"/>
      <c r="C21" s="85" t="inlineStr">
        <is>
          <t xml:space="preserve">TOTAL: 625 CTNS / 19.19 CBM / 2637.50 KG </t>
        </is>
      </c>
      <c r="D21" s="148" t="n"/>
      <c r="E21" s="148" t="n"/>
      <c r="F21" s="111" t="n"/>
      <c r="G21" s="25" t="n"/>
      <c r="H21" s="111" t="n"/>
      <c r="I21" s="111" t="n"/>
      <c r="J21" s="149" t="n"/>
      <c r="K21" s="150" t="n"/>
      <c r="L21" s="149" t="n"/>
    </row>
    <row r="22" ht="15.5" customHeight="1">
      <c r="A22" s="28" t="n"/>
      <c r="B22" s="28" t="n"/>
      <c r="C22" s="29" t="n"/>
      <c r="D22" s="151" t="n"/>
      <c r="E22" s="151" t="n"/>
      <c r="F22" s="111" t="n"/>
      <c r="G22" s="31" t="n"/>
      <c r="H22" s="31" t="n"/>
      <c r="I22" s="31" t="n"/>
      <c r="J22" s="31" t="n"/>
      <c r="K22" s="31" t="n"/>
      <c r="L22" s="31" t="n"/>
      <c r="M22" s="32" t="n"/>
    </row>
    <row r="23" ht="20.15" customFormat="1" customHeight="1" s="1">
      <c r="A23" s="33" t="inlineStr">
        <is>
          <t xml:space="preserve">         **SHIPPING MARK**</t>
        </is>
      </c>
      <c r="B23" s="33" t="n"/>
      <c r="C23" s="33" t="n"/>
      <c r="D23" s="152" t="n"/>
      <c r="E23" s="152" t="n"/>
      <c r="F23" s="35" t="n"/>
      <c r="G23" s="36" t="n"/>
      <c r="H23" s="35" t="n"/>
      <c r="I23" s="35" t="n"/>
      <c r="J23" s="153" t="n"/>
      <c r="K23" s="154" t="n"/>
      <c r="L23" s="154" t="n"/>
      <c r="M23" s="39" t="n"/>
    </row>
    <row r="24" ht="20.15" customFormat="1" customHeight="1" s="1">
      <c r="A24" s="155" t="inlineStr">
        <is>
          <t>Part Number: 0266SMS2DV-SP</t>
        </is>
      </c>
      <c r="C24" s="40" t="n"/>
      <c r="D24" s="156" t="n"/>
      <c r="E24" s="157" t="inlineStr">
        <is>
          <t>Part Number: 0266MAGFMI</t>
        </is>
      </c>
      <c r="F24" s="35" t="n"/>
      <c r="I24" s="158" t="inlineStr">
        <is>
          <t>Part Number: 0266MP2WD-SP1</t>
        </is>
      </c>
      <c r="L24" s="154" t="n"/>
    </row>
    <row r="25" ht="20.15" customFormat="1" customHeight="1" s="1">
      <c r="A25" s="155" t="inlineStr">
        <is>
          <t>PO#: 163031</t>
        </is>
      </c>
      <c r="C25" s="40" t="n"/>
      <c r="D25" s="156" t="n"/>
      <c r="E25" s="157" t="inlineStr">
        <is>
          <t>PO # : 163031</t>
        </is>
      </c>
      <c r="I25" s="158" t="inlineStr">
        <is>
          <t>PO#: 163031</t>
        </is>
      </c>
      <c r="L25" s="154" t="n"/>
    </row>
    <row r="26" ht="15.5" customHeight="1">
      <c r="A26" s="155" t="inlineStr">
        <is>
          <t>Date Code: 待確認</t>
        </is>
      </c>
      <c r="B26" s="33" t="n"/>
      <c r="C26" s="33" t="n"/>
      <c r="D26" s="152" t="n"/>
      <c r="E26" s="159" t="inlineStr">
        <is>
          <t>Date C ode: 1630313226</t>
        </is>
      </c>
      <c r="I26" s="158" t="inlineStr">
        <is>
          <t>Date Code: 待確認</t>
        </is>
      </c>
      <c r="L26" s="154" t="n"/>
    </row>
    <row r="27" ht="15.5" customHeight="1">
      <c r="A27" s="155" t="inlineStr">
        <is>
          <t>C/N: of 25</t>
        </is>
      </c>
      <c r="B27" s="1" t="n"/>
      <c r="C27" s="40" t="n"/>
      <c r="D27" s="156" t="n"/>
      <c r="E27" s="157" t="inlineStr">
        <is>
          <t>C/N: of 10</t>
        </is>
      </c>
      <c r="F27" s="55" t="n"/>
      <c r="G27" s="1" t="n"/>
      <c r="H27" s="153" t="n"/>
      <c r="I27" s="155" t="inlineStr">
        <is>
          <t>C/N: of 79</t>
        </is>
      </c>
      <c r="J27" s="39" t="n"/>
      <c r="K27" s="39" t="n"/>
      <c r="L27" s="154" t="n"/>
      <c r="N27" s="1" t="n"/>
      <c r="O27" s="40" t="n"/>
      <c r="P27" s="156" t="n"/>
      <c r="Q27" s="35" t="n"/>
      <c r="R27" s="1" t="n"/>
      <c r="S27" s="1" t="n"/>
      <c r="U27" s="153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  <c r="IW27" s="1" t="n"/>
    </row>
    <row r="28" ht="20.15" customFormat="1" customHeight="1" s="1">
      <c r="A28" s="155" t="inlineStr">
        <is>
          <t>Qty: 80 pcs</t>
        </is>
      </c>
      <c r="D28" s="55" t="n"/>
      <c r="E28" s="158" t="inlineStr">
        <is>
          <t>Qty: 100 pcs</t>
        </is>
      </c>
      <c r="F28" s="55" t="n"/>
      <c r="G28" s="1" t="n"/>
      <c r="H28" s="1" t="n"/>
      <c r="I28" s="155" t="inlineStr">
        <is>
          <t>Qty: 40 pcs</t>
        </is>
      </c>
      <c r="J28" s="153" t="n"/>
      <c r="K28" s="1" t="n"/>
      <c r="L28" s="154" t="n"/>
      <c r="N28" s="1" t="n"/>
      <c r="O28" s="40" t="n"/>
      <c r="P28" s="156" t="n"/>
      <c r="Q28" s="35" t="n"/>
      <c r="R28" s="1" t="n"/>
      <c r="S28" s="1" t="n"/>
      <c r="U28" s="153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  <c r="IW28" s="1" t="n"/>
    </row>
    <row r="29" ht="20.15" customFormat="1" customHeight="1" s="1">
      <c r="A29" s="155" t="inlineStr">
        <is>
          <t>N. W.: 5.6 kg 12.35 lbs</t>
        </is>
      </c>
      <c r="C29" s="40" t="n"/>
      <c r="D29" s="156" t="n"/>
      <c r="E29" s="157" t="inlineStr">
        <is>
          <t>N. W.: 3.4 kg 7.5 lbs</t>
        </is>
      </c>
      <c r="I29" s="158" t="inlineStr">
        <is>
          <t>N. W.: 4.7 kg 10.36 lbs</t>
        </is>
      </c>
      <c r="L29" s="154" t="n"/>
    </row>
    <row r="30" ht="20.15" customFormat="1" customHeight="1" s="1">
      <c r="A30" s="155" t="inlineStr">
        <is>
          <t>G. W.: 12.1 kg 26.68 lbs</t>
        </is>
      </c>
      <c r="C30" s="40" t="n"/>
      <c r="D30" s="156" t="n"/>
      <c r="E30" s="157" t="inlineStr">
        <is>
          <t>G. W.: 9.9 kg 21.83 lbs</t>
        </is>
      </c>
      <c r="I30" s="158" t="inlineStr">
        <is>
          <t>G. W.: 8.9 kg 19.62 lbs</t>
        </is>
      </c>
      <c r="L30" s="154" t="n"/>
    </row>
    <row r="31" ht="20.15" customFormat="1" customHeight="1" s="1">
      <c r="A31" s="155" t="inlineStr">
        <is>
          <t>Dims (WDH): 470 X 375 X 395 mm</t>
        </is>
      </c>
      <c r="B31" s="33" t="n"/>
      <c r="C31" s="33" t="n"/>
      <c r="D31" s="152" t="n"/>
      <c r="E31" s="159" t="inlineStr">
        <is>
          <t>Dims (WDH): 465 X 325 X 390 mm</t>
        </is>
      </c>
      <c r="I31" s="158" t="inlineStr">
        <is>
          <t>Dims (WDH): 550 x 475 x 205 mm</t>
        </is>
      </c>
      <c r="L31" s="154" t="n"/>
    </row>
    <row r="32" ht="20.15" customFormat="1" customHeight="1" s="1">
      <c r="A32" s="155" t="inlineStr">
        <is>
          <t>(WDH): 18.5 X 14.8 X 15.6 inches</t>
        </is>
      </c>
      <c r="B32" s="1" t="n"/>
      <c r="C32" s="40" t="n"/>
      <c r="D32" s="156" t="n"/>
      <c r="E32" s="157" t="inlineStr">
        <is>
          <t>(WDH): 18.3 X 12.8 X 15.4 i nches</t>
        </is>
      </c>
      <c r="F32" s="55" t="n"/>
      <c r="G32" s="1" t="n"/>
      <c r="H32" s="153" t="n"/>
      <c r="I32" s="155" t="inlineStr">
        <is>
          <t>(WDH): 21.7 x 18.7 x 8.1 inches</t>
        </is>
      </c>
      <c r="J32" s="39" t="n"/>
      <c r="K32" s="39" t="n"/>
      <c r="L32" s="154" t="n"/>
      <c r="N32" s="1" t="n"/>
      <c r="O32" s="40" t="n"/>
      <c r="P32" s="156" t="n"/>
      <c r="Q32" s="35" t="n"/>
      <c r="R32" s="1" t="n"/>
      <c r="S32" s="1" t="n"/>
      <c r="U32" s="153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  <c r="IW32" s="1" t="n"/>
    </row>
    <row r="33" ht="20.15" customFormat="1" customHeight="1" s="1">
      <c r="A33" s="155" t="inlineStr">
        <is>
          <t>Made in Vietnam</t>
        </is>
      </c>
      <c r="D33" s="55" t="n"/>
      <c r="E33" s="158" t="inlineStr">
        <is>
          <t>Made i n Vietnam</t>
        </is>
      </c>
      <c r="F33" s="55" t="n"/>
      <c r="G33" s="1" t="n"/>
      <c r="H33" s="1" t="n"/>
      <c r="I33" s="155" t="inlineStr">
        <is>
          <t>Made in Vietnam</t>
        </is>
      </c>
      <c r="J33" s="153" t="n"/>
      <c r="K33" s="1" t="n"/>
      <c r="L33" s="154" t="n"/>
      <c r="N33" s="1" t="n"/>
      <c r="O33" s="40" t="n"/>
      <c r="P33" s="156" t="n"/>
      <c r="Q33" s="35" t="n"/>
      <c r="R33" s="1" t="n"/>
      <c r="S33" s="1" t="n"/>
      <c r="U33" s="153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  <c r="EI33" s="1" t="n"/>
      <c r="EJ33" s="1" t="n"/>
      <c r="EK33" s="1" t="n"/>
      <c r="EL33" s="1" t="n"/>
      <c r="EM33" s="1" t="n"/>
      <c r="EN33" s="1" t="n"/>
      <c r="EO33" s="1" t="n"/>
      <c r="EP33" s="1" t="n"/>
      <c r="EQ33" s="1" t="n"/>
      <c r="ER33" s="1" t="n"/>
      <c r="ES33" s="1" t="n"/>
      <c r="ET33" s="1" t="n"/>
      <c r="EU33" s="1" t="n"/>
      <c r="EV33" s="1" t="n"/>
      <c r="EW33" s="1" t="n"/>
      <c r="EX33" s="1" t="n"/>
      <c r="EY33" s="1" t="n"/>
      <c r="EZ33" s="1" t="n"/>
      <c r="FA33" s="1" t="n"/>
      <c r="FB33" s="1" t="n"/>
      <c r="FC33" s="1" t="n"/>
      <c r="FD33" s="1" t="n"/>
      <c r="FE33" s="1" t="n"/>
      <c r="FF33" s="1" t="n"/>
      <c r="FG33" s="1" t="n"/>
      <c r="FH33" s="1" t="n"/>
      <c r="FI33" s="1" t="n"/>
      <c r="FJ33" s="1" t="n"/>
      <c r="FK33" s="1" t="n"/>
      <c r="FL33" s="1" t="n"/>
      <c r="FM33" s="1" t="n"/>
      <c r="FN33" s="1" t="n"/>
      <c r="FO33" s="1" t="n"/>
      <c r="FP33" s="1" t="n"/>
      <c r="FQ33" s="1" t="n"/>
      <c r="FR33" s="1" t="n"/>
      <c r="FS33" s="1" t="n"/>
      <c r="FT33" s="1" t="n"/>
      <c r="FU33" s="1" t="n"/>
      <c r="FV33" s="1" t="n"/>
      <c r="FW33" s="1" t="n"/>
      <c r="FX33" s="1" t="n"/>
      <c r="FY33" s="1" t="n"/>
      <c r="FZ33" s="1" t="n"/>
      <c r="GA33" s="1" t="n"/>
      <c r="GB33" s="1" t="n"/>
      <c r="GC33" s="1" t="n"/>
      <c r="GD33" s="1" t="n"/>
      <c r="GE33" s="1" t="n"/>
      <c r="GF33" s="1" t="n"/>
      <c r="GG33" s="1" t="n"/>
      <c r="GH33" s="1" t="n"/>
      <c r="GI33" s="1" t="n"/>
      <c r="GJ33" s="1" t="n"/>
      <c r="GK33" s="1" t="n"/>
      <c r="GL33" s="1" t="n"/>
      <c r="GM33" s="1" t="n"/>
      <c r="GN33" s="1" t="n"/>
      <c r="GO33" s="1" t="n"/>
      <c r="GP33" s="1" t="n"/>
      <c r="GQ33" s="1" t="n"/>
      <c r="GR33" s="1" t="n"/>
      <c r="GS33" s="1" t="n"/>
      <c r="GT33" s="1" t="n"/>
      <c r="GU33" s="1" t="n"/>
      <c r="GV33" s="1" t="n"/>
      <c r="GW33" s="1" t="n"/>
      <c r="GX33" s="1" t="n"/>
      <c r="GY33" s="1" t="n"/>
      <c r="GZ33" s="1" t="n"/>
      <c r="HA33" s="1" t="n"/>
      <c r="HB33" s="1" t="n"/>
      <c r="HC33" s="1" t="n"/>
      <c r="HD33" s="1" t="n"/>
      <c r="HE33" s="1" t="n"/>
      <c r="HF33" s="1" t="n"/>
      <c r="HG33" s="1" t="n"/>
      <c r="HH33" s="1" t="n"/>
      <c r="HI33" s="1" t="n"/>
      <c r="HJ33" s="1" t="n"/>
      <c r="HK33" s="1" t="n"/>
      <c r="HL33" s="1" t="n"/>
      <c r="HM33" s="1" t="n"/>
      <c r="HN33" s="1" t="n"/>
      <c r="HO33" s="1" t="n"/>
      <c r="HP33" s="1" t="n"/>
      <c r="HQ33" s="1" t="n"/>
      <c r="HR33" s="1" t="n"/>
      <c r="HS33" s="1" t="n"/>
      <c r="HT33" s="1" t="n"/>
      <c r="HU33" s="1" t="n"/>
      <c r="HV33" s="1" t="n"/>
      <c r="HW33" s="1" t="n"/>
      <c r="HX33" s="1" t="n"/>
      <c r="HY33" s="1" t="n"/>
      <c r="HZ33" s="1" t="n"/>
      <c r="IA33" s="1" t="n"/>
      <c r="IB33" s="1" t="n"/>
      <c r="IC33" s="1" t="n"/>
      <c r="ID33" s="1" t="n"/>
      <c r="IE33" s="1" t="n"/>
      <c r="IF33" s="1" t="n"/>
      <c r="IG33" s="1" t="n"/>
      <c r="IH33" s="1" t="n"/>
      <c r="II33" s="1" t="n"/>
      <c r="IJ33" s="1" t="n"/>
      <c r="IK33" s="1" t="n"/>
      <c r="IL33" s="1" t="n"/>
      <c r="IM33" s="1" t="n"/>
      <c r="IN33" s="1" t="n"/>
      <c r="IO33" s="1" t="n"/>
      <c r="IP33" s="1" t="n"/>
      <c r="IQ33" s="1" t="n"/>
      <c r="IR33" s="1" t="n"/>
      <c r="IS33" s="1" t="n"/>
      <c r="IT33" s="1" t="n"/>
      <c r="IU33" s="1" t="n"/>
      <c r="IV33" s="1" t="n"/>
      <c r="IW33" s="1" t="n"/>
    </row>
    <row r="34" ht="20.15" customFormat="1" customHeight="1" s="1">
      <c r="A34" s="155" t="inlineStr">
        <is>
          <t>*** GOODS ROHS COMPLIANT***</t>
        </is>
      </c>
      <c r="C34" s="40" t="n"/>
      <c r="D34" s="156" t="n"/>
      <c r="E34" s="157" t="inlineStr">
        <is>
          <t>*** GOODS ROHS COMPLIANT***</t>
        </is>
      </c>
      <c r="I34" s="158" t="inlineStr">
        <is>
          <t>*** GOODS ROHS COMPLIANT***</t>
        </is>
      </c>
      <c r="L34" s="154" t="n"/>
    </row>
    <row r="35" ht="15.5" customHeight="1">
      <c r="A35" s="65" t="inlineStr">
        <is>
          <t>RFID</t>
        </is>
      </c>
      <c r="C35" s="40" t="n"/>
      <c r="D35" s="156" t="n"/>
      <c r="E35" s="156" t="n"/>
      <c r="I35" s="160" t="inlineStr">
        <is>
          <t>RFID</t>
        </is>
      </c>
      <c r="L35" s="154" t="n"/>
    </row>
    <row r="36" ht="15.5" customHeight="1">
      <c r="A36" s="65" t="n"/>
      <c r="C36" s="40" t="n"/>
      <c r="D36" s="156" t="n"/>
      <c r="E36" s="156" t="n"/>
      <c r="G36" s="161" t="n"/>
      <c r="I36" s="161" t="n"/>
      <c r="L36" s="154" t="n"/>
    </row>
    <row r="37" ht="20.15" customFormat="1" customHeight="1" s="1">
      <c r="A37" s="162" t="inlineStr">
        <is>
          <t>Part Number: 0266MAGDMB</t>
        </is>
      </c>
      <c r="C37" s="40" t="n"/>
      <c r="D37" s="156" t="n"/>
      <c r="E37" s="156" t="n"/>
      <c r="I37" s="65" t="n"/>
      <c r="L37" s="154" t="n"/>
    </row>
    <row r="38" ht="20.15" customFormat="1" customHeight="1" s="1">
      <c r="A38" s="160" t="inlineStr">
        <is>
          <t>PO#: 163031</t>
        </is>
      </c>
      <c r="C38" s="40" t="n"/>
      <c r="D38" s="156" t="n"/>
      <c r="E38" s="156" t="n"/>
      <c r="I38" s="65" t="n"/>
      <c r="L38" s="154" t="n"/>
    </row>
    <row r="39" ht="20.15" customFormat="1" customHeight="1" s="1">
      <c r="A39" s="160" t="inlineStr">
        <is>
          <t>Date Code: 待確認</t>
        </is>
      </c>
      <c r="C39" s="40" t="n"/>
      <c r="D39" s="156" t="n"/>
      <c r="E39" s="156" t="n"/>
      <c r="I39" s="65" t="n"/>
      <c r="L39" s="154" t="n"/>
    </row>
    <row r="40" ht="20.15" customFormat="1" customHeight="1" s="1">
      <c r="A40" s="160" t="inlineStr">
        <is>
          <t>C/N： of 34</t>
        </is>
      </c>
      <c r="B40" s="33" t="n"/>
      <c r="C40" s="33" t="n"/>
      <c r="D40" s="152" t="n"/>
      <c r="E40" s="152" t="n"/>
      <c r="I40" s="65" t="n"/>
      <c r="L40" s="154" t="n"/>
    </row>
    <row r="41" ht="20.15" customFormat="1" customHeight="1" s="1">
      <c r="A41" s="160" t="inlineStr">
        <is>
          <t>Qty: 150 pcs</t>
        </is>
      </c>
      <c r="B41" s="1" t="n"/>
      <c r="C41" s="40" t="n"/>
      <c r="D41" s="156" t="n"/>
      <c r="E41" s="156" t="n"/>
      <c r="F41" s="35" t="n"/>
      <c r="G41" s="1" t="n"/>
      <c r="H41" s="1" t="n"/>
      <c r="I41" s="65" t="n"/>
      <c r="J41" s="39" t="n"/>
      <c r="K41" s="39" t="n"/>
      <c r="L41" s="154" t="n"/>
      <c r="N41" s="1" t="n"/>
      <c r="O41" s="40" t="n"/>
      <c r="P41" s="156" t="n"/>
      <c r="Q41" s="35" t="n"/>
      <c r="R41" s="1" t="n"/>
      <c r="S41" s="1" t="n"/>
      <c r="U41" s="153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  <c r="EI41" s="1" t="n"/>
      <c r="EJ41" s="1" t="n"/>
      <c r="EK41" s="1" t="n"/>
      <c r="EL41" s="1" t="n"/>
      <c r="EM41" s="1" t="n"/>
      <c r="EN41" s="1" t="n"/>
      <c r="EO41" s="1" t="n"/>
      <c r="EP41" s="1" t="n"/>
      <c r="EQ41" s="1" t="n"/>
      <c r="ER41" s="1" t="n"/>
      <c r="ES41" s="1" t="n"/>
      <c r="ET41" s="1" t="n"/>
      <c r="EU41" s="1" t="n"/>
      <c r="EV41" s="1" t="n"/>
      <c r="EW41" s="1" t="n"/>
      <c r="EX41" s="1" t="n"/>
      <c r="EY41" s="1" t="n"/>
      <c r="EZ41" s="1" t="n"/>
      <c r="FA41" s="1" t="n"/>
      <c r="FB41" s="1" t="n"/>
      <c r="FC41" s="1" t="n"/>
      <c r="FD41" s="1" t="n"/>
      <c r="FE41" s="1" t="n"/>
      <c r="FF41" s="1" t="n"/>
      <c r="FG41" s="1" t="n"/>
      <c r="FH41" s="1" t="n"/>
      <c r="FI41" s="1" t="n"/>
      <c r="FJ41" s="1" t="n"/>
      <c r="FK41" s="1" t="n"/>
      <c r="FL41" s="1" t="n"/>
      <c r="FM41" s="1" t="n"/>
      <c r="FN41" s="1" t="n"/>
      <c r="FO41" s="1" t="n"/>
      <c r="FP41" s="1" t="n"/>
      <c r="FQ41" s="1" t="n"/>
      <c r="FR41" s="1" t="n"/>
      <c r="FS41" s="1" t="n"/>
      <c r="FT41" s="1" t="n"/>
      <c r="FU41" s="1" t="n"/>
      <c r="FV41" s="1" t="n"/>
      <c r="FW41" s="1" t="n"/>
      <c r="FX41" s="1" t="n"/>
      <c r="FY41" s="1" t="n"/>
      <c r="FZ41" s="1" t="n"/>
      <c r="GA41" s="1" t="n"/>
      <c r="GB41" s="1" t="n"/>
      <c r="GC41" s="1" t="n"/>
      <c r="GD41" s="1" t="n"/>
      <c r="GE41" s="1" t="n"/>
      <c r="GF41" s="1" t="n"/>
      <c r="GG41" s="1" t="n"/>
      <c r="GH41" s="1" t="n"/>
      <c r="GI41" s="1" t="n"/>
      <c r="GJ41" s="1" t="n"/>
      <c r="GK41" s="1" t="n"/>
      <c r="GL41" s="1" t="n"/>
      <c r="GM41" s="1" t="n"/>
      <c r="GN41" s="1" t="n"/>
      <c r="GO41" s="1" t="n"/>
      <c r="GP41" s="1" t="n"/>
      <c r="GQ41" s="1" t="n"/>
      <c r="GR41" s="1" t="n"/>
      <c r="GS41" s="1" t="n"/>
      <c r="GT41" s="1" t="n"/>
      <c r="GU41" s="1" t="n"/>
      <c r="GV41" s="1" t="n"/>
      <c r="GW41" s="1" t="n"/>
      <c r="GX41" s="1" t="n"/>
      <c r="GY41" s="1" t="n"/>
      <c r="GZ41" s="1" t="n"/>
      <c r="HA41" s="1" t="n"/>
      <c r="HB41" s="1" t="n"/>
      <c r="HC41" s="1" t="n"/>
      <c r="HD41" s="1" t="n"/>
      <c r="HE41" s="1" t="n"/>
      <c r="HF41" s="1" t="n"/>
      <c r="HG41" s="1" t="n"/>
      <c r="HH41" s="1" t="n"/>
      <c r="HI41" s="1" t="n"/>
      <c r="HJ41" s="1" t="n"/>
      <c r="HK41" s="1" t="n"/>
      <c r="HL41" s="1" t="n"/>
      <c r="HM41" s="1" t="n"/>
      <c r="HN41" s="1" t="n"/>
      <c r="HO41" s="1" t="n"/>
      <c r="HP41" s="1" t="n"/>
      <c r="HQ41" s="1" t="n"/>
      <c r="HR41" s="1" t="n"/>
      <c r="HS41" s="1" t="n"/>
      <c r="HT41" s="1" t="n"/>
      <c r="HU41" s="1" t="n"/>
      <c r="HV41" s="1" t="n"/>
      <c r="HW41" s="1" t="n"/>
      <c r="HX41" s="1" t="n"/>
      <c r="HY41" s="1" t="n"/>
      <c r="HZ41" s="1" t="n"/>
      <c r="IA41" s="1" t="n"/>
      <c r="IB41" s="1" t="n"/>
      <c r="IC41" s="1" t="n"/>
      <c r="ID41" s="1" t="n"/>
      <c r="IE41" s="1" t="n"/>
      <c r="IF41" s="1" t="n"/>
      <c r="IG41" s="1" t="n"/>
      <c r="IH41" s="1" t="n"/>
      <c r="II41" s="1" t="n"/>
      <c r="IJ41" s="1" t="n"/>
      <c r="IK41" s="1" t="n"/>
      <c r="IL41" s="1" t="n"/>
      <c r="IM41" s="1" t="n"/>
      <c r="IN41" s="1" t="n"/>
      <c r="IO41" s="1" t="n"/>
      <c r="IP41" s="1" t="n"/>
      <c r="IQ41" s="1" t="n"/>
      <c r="IR41" s="1" t="n"/>
      <c r="IS41" s="1" t="n"/>
      <c r="IT41" s="1" t="n"/>
      <c r="IU41" s="1" t="n"/>
      <c r="IV41" s="1" t="n"/>
      <c r="IW41" s="1" t="n"/>
    </row>
    <row r="42" ht="16" customHeight="1" thickBot="1">
      <c r="A42" s="162" t="inlineStr">
        <is>
          <t>N. W.: 6.9 kg 15.21 lbs</t>
        </is>
      </c>
      <c r="D42" s="55" t="n"/>
      <c r="E42" s="55" t="n"/>
      <c r="F42" s="55" t="n"/>
      <c r="G42" s="1" t="n"/>
      <c r="H42" s="1" t="n"/>
      <c r="I42" s="65" t="n"/>
      <c r="J42" s="153" t="n"/>
      <c r="K42" s="1" t="n"/>
      <c r="L42" s="154" t="n"/>
      <c r="N42" s="1" t="n"/>
      <c r="O42" s="40" t="n"/>
      <c r="P42" s="156" t="n"/>
      <c r="Q42" s="35" t="n"/>
      <c r="R42" s="1" t="n"/>
      <c r="S42" s="1" t="n"/>
      <c r="U42" s="153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  <c r="IW42" s="1" t="n"/>
    </row>
    <row r="43" ht="16" customHeight="1" thickTop="1">
      <c r="A43" s="162" t="inlineStr">
        <is>
          <t>G. W.: 11.3 kg 24.91 lbs</t>
        </is>
      </c>
      <c r="C43" s="40" t="n"/>
      <c r="D43" s="156" t="n"/>
      <c r="E43" s="156" t="n"/>
      <c r="I43" s="65" t="n"/>
      <c r="L43" s="154" t="n"/>
    </row>
    <row r="44">
      <c r="A44" s="162" t="inlineStr">
        <is>
          <t>Dims (WDH): 540 X 400 X 203 m m</t>
        </is>
      </c>
      <c r="C44" s="40" t="n"/>
      <c r="D44" s="156" t="n"/>
      <c r="E44" s="156" t="n"/>
      <c r="I44" s="65" t="n"/>
      <c r="L44" s="154" t="n"/>
    </row>
    <row r="45">
      <c r="A45" s="160" t="inlineStr">
        <is>
          <t>( WDH): 21.3 X 15.7 X 8 i nches</t>
        </is>
      </c>
      <c r="C45" s="40" t="n"/>
      <c r="D45" s="156" t="n"/>
      <c r="E45" s="156" t="n"/>
      <c r="I45" s="65" t="n"/>
      <c r="L45" s="154" t="n"/>
    </row>
    <row r="46" ht="17" customHeight="1">
      <c r="A46" s="160" t="inlineStr">
        <is>
          <t>Made in Vietnam</t>
        </is>
      </c>
      <c r="C46" s="40" t="n"/>
      <c r="D46" s="156" t="n"/>
      <c r="E46" s="156" t="n"/>
      <c r="I46" s="65" t="n"/>
      <c r="L46" s="154" t="n"/>
    </row>
    <row r="47" ht="17" customHeight="1">
      <c r="A47" s="160" t="inlineStr">
        <is>
          <t>*** GOODS ROHS COMPLIANT***</t>
        </is>
      </c>
      <c r="C47" s="40" t="n"/>
      <c r="D47" s="156" t="n"/>
      <c r="E47" s="156" t="n"/>
      <c r="G47" s="163" t="n"/>
      <c r="I47" s="161" t="n"/>
      <c r="L47" s="154" t="n"/>
    </row>
    <row r="48">
      <c r="A48" s="45" t="n"/>
      <c r="B48" s="44" t="n"/>
      <c r="C48" s="45" t="n"/>
      <c r="D48" s="164" t="n"/>
      <c r="E48" s="164" t="n"/>
      <c r="F48" s="47" t="n"/>
      <c r="G48" s="47" t="n"/>
      <c r="H48" s="43" t="n"/>
      <c r="I48" s="43" t="n"/>
      <c r="J48" s="48" t="n"/>
      <c r="K48" s="43" t="n"/>
      <c r="L48" s="165" t="n"/>
      <c r="N48" s="1" t="n"/>
      <c r="O48" s="40" t="n"/>
      <c r="P48" s="156" t="n"/>
      <c r="Q48" s="35" t="n"/>
      <c r="R48" s="1" t="n"/>
      <c r="S48" s="1" t="n"/>
      <c r="U48" s="153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  <c r="IW48" s="1" t="n"/>
    </row>
    <row r="49">
      <c r="A49" s="1" t="inlineStr">
        <is>
          <t>ISSUED BY:</t>
        </is>
      </c>
      <c r="B49" s="1" t="n"/>
      <c r="C49" s="1" t="n"/>
      <c r="D49" s="166" t="n"/>
      <c r="E49" s="166" t="n"/>
      <c r="F49" s="111" t="n"/>
      <c r="G49" s="1" t="n"/>
      <c r="H49" s="1" t="n"/>
      <c r="I49" s="1" t="n"/>
      <c r="J49" s="167" t="n"/>
      <c r="K49" s="168" t="n"/>
      <c r="L49" s="168" t="n"/>
      <c r="M49" s="163" t="n"/>
      <c r="N49" s="33" t="n"/>
      <c r="O49" s="33" t="n"/>
      <c r="P49" s="152" t="n"/>
      <c r="Q49" s="35" t="n"/>
      <c r="S49" s="1" t="n"/>
      <c r="T49" s="33" t="n"/>
      <c r="U49" s="153" t="n"/>
      <c r="V49" s="169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  <c r="IW49" s="1" t="n"/>
    </row>
    <row r="50">
      <c r="A50" s="1" t="n"/>
      <c r="B50" s="1" t="n"/>
      <c r="C50" s="1" t="n"/>
      <c r="D50" s="166" t="n"/>
      <c r="E50" s="166" t="n"/>
      <c r="F50" s="111" t="inlineStr">
        <is>
          <t>COMART CORPORATION</t>
        </is>
      </c>
      <c r="G50" s="1" t="n"/>
      <c r="H50" s="1" t="n"/>
      <c r="I50" s="1" t="n"/>
      <c r="J50" s="167" t="n"/>
      <c r="K50" s="168" t="n"/>
      <c r="L50" s="168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G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  <c r="ED50" s="1" t="n"/>
      <c r="EE50" s="1" t="n"/>
      <c r="EF50" s="1" t="n"/>
      <c r="EG50" s="1" t="n"/>
      <c r="EH50" s="1" t="n"/>
      <c r="EI50" s="1" t="n"/>
      <c r="EJ50" s="1" t="n"/>
      <c r="EK50" s="1" t="n"/>
      <c r="EL50" s="1" t="n"/>
      <c r="EM50" s="1" t="n"/>
      <c r="EN50" s="1" t="n"/>
      <c r="EO50" s="1" t="n"/>
      <c r="EP50" s="1" t="n"/>
      <c r="EQ50" s="1" t="n"/>
      <c r="ER50" s="1" t="n"/>
      <c r="ES50" s="1" t="n"/>
      <c r="ET50" s="1" t="n"/>
      <c r="EU50" s="1" t="n"/>
      <c r="EV50" s="1" t="n"/>
      <c r="EW50" s="1" t="n"/>
      <c r="EX50" s="1" t="n"/>
      <c r="EY50" s="1" t="n"/>
      <c r="EZ50" s="1" t="n"/>
      <c r="FA50" s="1" t="n"/>
      <c r="FB50" s="1" t="n"/>
      <c r="FC50" s="1" t="n"/>
      <c r="FD50" s="1" t="n"/>
      <c r="FE50" s="1" t="n"/>
      <c r="FF50" s="1" t="n"/>
      <c r="FG50" s="1" t="n"/>
      <c r="FH50" s="1" t="n"/>
      <c r="FI50" s="1" t="n"/>
      <c r="FJ50" s="1" t="n"/>
      <c r="FK50" s="1" t="n"/>
      <c r="FL50" s="1" t="n"/>
      <c r="FM50" s="1" t="n"/>
      <c r="FN50" s="1" t="n"/>
      <c r="FO50" s="1" t="n"/>
      <c r="FP50" s="1" t="n"/>
      <c r="FQ50" s="1" t="n"/>
      <c r="FR50" s="1" t="n"/>
      <c r="FS50" s="1" t="n"/>
      <c r="FT50" s="1" t="n"/>
      <c r="FU50" s="1" t="n"/>
      <c r="FV50" s="1" t="n"/>
      <c r="FW50" s="1" t="n"/>
      <c r="FX50" s="1" t="n"/>
      <c r="FY50" s="1" t="n"/>
      <c r="FZ50" s="1" t="n"/>
      <c r="GA50" s="1" t="n"/>
      <c r="GB50" s="1" t="n"/>
      <c r="GC50" s="1" t="n"/>
      <c r="GD50" s="1" t="n"/>
      <c r="GE50" s="1" t="n"/>
      <c r="GF50" s="1" t="n"/>
      <c r="GG50" s="1" t="n"/>
      <c r="GH50" s="1" t="n"/>
      <c r="GI50" s="1" t="n"/>
      <c r="GJ50" s="1" t="n"/>
      <c r="GK50" s="1" t="n"/>
      <c r="GL50" s="1" t="n"/>
      <c r="GM50" s="1" t="n"/>
      <c r="GN50" s="1" t="n"/>
      <c r="GO50" s="1" t="n"/>
      <c r="GP50" s="1" t="n"/>
      <c r="GQ50" s="1" t="n"/>
      <c r="GR50" s="1" t="n"/>
      <c r="GS50" s="1" t="n"/>
      <c r="GT50" s="1" t="n"/>
      <c r="GU50" s="1" t="n"/>
      <c r="GV50" s="1" t="n"/>
      <c r="GW50" s="1" t="n"/>
      <c r="GX50" s="1" t="n"/>
      <c r="GY50" s="1" t="n"/>
      <c r="GZ50" s="1" t="n"/>
      <c r="HA50" s="1" t="n"/>
      <c r="HB50" s="1" t="n"/>
      <c r="HC50" s="1" t="n"/>
      <c r="HD50" s="1" t="n"/>
      <c r="HE50" s="1" t="n"/>
      <c r="HF50" s="1" t="n"/>
      <c r="HG50" s="1" t="n"/>
      <c r="HH50" s="1" t="n"/>
      <c r="HI50" s="1" t="n"/>
      <c r="HJ50" s="1" t="n"/>
      <c r="HK50" s="1" t="n"/>
      <c r="HL50" s="1" t="n"/>
      <c r="HM50" s="1" t="n"/>
      <c r="HN50" s="1" t="n"/>
      <c r="HO50" s="1" t="n"/>
      <c r="HP50" s="1" t="n"/>
      <c r="HQ50" s="1" t="n"/>
      <c r="HR50" s="1" t="n"/>
      <c r="HS50" s="1" t="n"/>
      <c r="HT50" s="1" t="n"/>
      <c r="HU50" s="1" t="n"/>
      <c r="HV50" s="1" t="n"/>
      <c r="HW50" s="1" t="n"/>
      <c r="HX50" s="1" t="n"/>
      <c r="HY50" s="1" t="n"/>
      <c r="HZ50" s="1" t="n"/>
      <c r="IA50" s="1" t="n"/>
      <c r="IB50" s="1" t="n"/>
      <c r="IC50" s="1" t="n"/>
      <c r="ID50" s="1" t="n"/>
      <c r="IE50" s="1" t="n"/>
      <c r="IF50" s="1" t="n"/>
      <c r="IG50" s="1" t="n"/>
      <c r="IH50" s="1" t="n"/>
      <c r="II50" s="1" t="n"/>
      <c r="IJ50" s="1" t="n"/>
      <c r="IK50" s="1" t="n"/>
      <c r="IL50" s="1" t="n"/>
      <c r="IM50" s="1" t="n"/>
      <c r="IN50" s="1" t="n"/>
      <c r="IO50" s="1" t="n"/>
      <c r="IP50" s="1" t="n"/>
      <c r="IQ50" s="1" t="n"/>
      <c r="IR50" s="1" t="n"/>
      <c r="IS50" s="1" t="n"/>
      <c r="IT50" s="1" t="n"/>
      <c r="IU50" s="1" t="n"/>
      <c r="IV50" s="1" t="n"/>
      <c r="IW50" s="1" t="n"/>
    </row>
    <row r="51">
      <c r="A51" s="1" t="n"/>
      <c r="B51" s="1" t="n"/>
      <c r="C51" s="1" t="n"/>
      <c r="D51" s="166" t="n"/>
      <c r="E51" s="166" t="n"/>
      <c r="F51" s="111" t="inlineStr">
        <is>
          <t>EMILY HOU</t>
        </is>
      </c>
      <c r="G51" s="1" t="n"/>
      <c r="H51" s="1" t="n"/>
      <c r="I51" s="1" t="n"/>
      <c r="J51" s="167" t="n"/>
      <c r="K51" s="168" t="n"/>
      <c r="L51" s="168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n"/>
      <c r="EG51" s="1" t="n"/>
      <c r="EH51" s="1" t="n"/>
      <c r="EI51" s="1" t="n"/>
      <c r="EJ51" s="1" t="n"/>
      <c r="EK51" s="1" t="n"/>
      <c r="EL51" s="1" t="n"/>
      <c r="EM51" s="1" t="n"/>
      <c r="EN51" s="1" t="n"/>
      <c r="EO51" s="1" t="n"/>
      <c r="EP51" s="1" t="n"/>
      <c r="EQ51" s="1" t="n"/>
      <c r="ER51" s="1" t="n"/>
      <c r="ES51" s="1" t="n"/>
      <c r="ET51" s="1" t="n"/>
      <c r="EU51" s="1" t="n"/>
      <c r="EV51" s="1" t="n"/>
      <c r="EW51" s="1" t="n"/>
      <c r="EX51" s="1" t="n"/>
      <c r="EY51" s="1" t="n"/>
      <c r="EZ51" s="1" t="n"/>
      <c r="FA51" s="1" t="n"/>
      <c r="FB51" s="1" t="n"/>
      <c r="FC51" s="1" t="n"/>
      <c r="FD51" s="1" t="n"/>
      <c r="FE51" s="1" t="n"/>
      <c r="FF51" s="1" t="n"/>
      <c r="FG51" s="1" t="n"/>
      <c r="FH51" s="1" t="n"/>
      <c r="FI51" s="1" t="n"/>
      <c r="FJ51" s="1" t="n"/>
      <c r="FK51" s="1" t="n"/>
      <c r="FL51" s="1" t="n"/>
      <c r="FM51" s="1" t="n"/>
      <c r="FN51" s="1" t="n"/>
      <c r="FO51" s="1" t="n"/>
      <c r="FP51" s="1" t="n"/>
      <c r="FQ51" s="1" t="n"/>
      <c r="FR51" s="1" t="n"/>
      <c r="FS51" s="1" t="n"/>
      <c r="FT51" s="1" t="n"/>
      <c r="FU51" s="1" t="n"/>
      <c r="FV51" s="1" t="n"/>
      <c r="FW51" s="1" t="n"/>
      <c r="FX51" s="1" t="n"/>
      <c r="FY51" s="1" t="n"/>
      <c r="FZ51" s="1" t="n"/>
      <c r="GA51" s="1" t="n"/>
      <c r="GB51" s="1" t="n"/>
      <c r="GC51" s="1" t="n"/>
      <c r="GD51" s="1" t="n"/>
      <c r="GE51" s="1" t="n"/>
      <c r="GF51" s="1" t="n"/>
      <c r="GG51" s="1" t="n"/>
      <c r="GH51" s="1" t="n"/>
      <c r="GI51" s="1" t="n"/>
      <c r="GJ51" s="1" t="n"/>
      <c r="GK51" s="1" t="n"/>
      <c r="GL51" s="1" t="n"/>
      <c r="GM51" s="1" t="n"/>
      <c r="GN51" s="1" t="n"/>
      <c r="GO51" s="1" t="n"/>
      <c r="GP51" s="1" t="n"/>
      <c r="GQ51" s="1" t="n"/>
      <c r="GR51" s="1" t="n"/>
      <c r="GS51" s="1" t="n"/>
      <c r="GT51" s="1" t="n"/>
      <c r="GU51" s="1" t="n"/>
      <c r="GV51" s="1" t="n"/>
      <c r="GW51" s="1" t="n"/>
      <c r="GX51" s="1" t="n"/>
      <c r="GY51" s="1" t="n"/>
      <c r="GZ51" s="1" t="n"/>
      <c r="HA51" s="1" t="n"/>
      <c r="HB51" s="1" t="n"/>
      <c r="HC51" s="1" t="n"/>
      <c r="HD51" s="1" t="n"/>
      <c r="HE51" s="1" t="n"/>
      <c r="HF51" s="1" t="n"/>
      <c r="HG51" s="1" t="n"/>
      <c r="HH51" s="1" t="n"/>
      <c r="HI51" s="1" t="n"/>
      <c r="HJ51" s="1" t="n"/>
      <c r="HK51" s="1" t="n"/>
      <c r="HL51" s="1" t="n"/>
      <c r="HM51" s="1" t="n"/>
      <c r="HN51" s="1" t="n"/>
      <c r="HO51" s="1" t="n"/>
      <c r="HP51" s="1" t="n"/>
      <c r="HQ51" s="1" t="n"/>
      <c r="HR51" s="1" t="n"/>
      <c r="HS51" s="1" t="n"/>
      <c r="HT51" s="1" t="n"/>
      <c r="HU51" s="1" t="n"/>
      <c r="HV51" s="1" t="n"/>
      <c r="HW51" s="1" t="n"/>
      <c r="HX51" s="1" t="n"/>
      <c r="HY51" s="1" t="n"/>
      <c r="HZ51" s="1" t="n"/>
      <c r="IA51" s="1" t="n"/>
      <c r="IB51" s="1" t="n"/>
      <c r="IC51" s="1" t="n"/>
      <c r="ID51" s="1" t="n"/>
      <c r="IE51" s="1" t="n"/>
      <c r="IF51" s="1" t="n"/>
      <c r="IG51" s="1" t="n"/>
      <c r="IH51" s="1" t="n"/>
      <c r="II51" s="1" t="n"/>
      <c r="IJ51" s="1" t="n"/>
      <c r="IK51" s="1" t="n"/>
      <c r="IL51" s="1" t="n"/>
      <c r="IM51" s="1" t="n"/>
      <c r="IN51" s="1" t="n"/>
      <c r="IO51" s="1" t="n"/>
      <c r="IP51" s="1" t="n"/>
      <c r="IQ51" s="1" t="n"/>
      <c r="IR51" s="1" t="n"/>
      <c r="IS51" s="1" t="n"/>
      <c r="IT51" s="1" t="n"/>
      <c r="IU51" s="1" t="n"/>
      <c r="IV51" s="1" t="n"/>
      <c r="IW51" s="1" t="n"/>
    </row>
    <row r="52">
      <c r="A52" s="31" t="n"/>
      <c r="B52" s="31" t="n"/>
      <c r="C52" s="31" t="n"/>
      <c r="D52" s="170" t="n"/>
      <c r="E52" s="170" t="n"/>
      <c r="F52" s="54" t="n"/>
      <c r="G52" s="31" t="n"/>
      <c r="H52" s="31" t="n"/>
      <c r="I52" s="31" t="n"/>
      <c r="J52" s="31" t="n"/>
      <c r="K52" s="31" t="n"/>
      <c r="L52" s="3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  <c r="EI52" s="1" t="n"/>
      <c r="EJ52" s="1" t="n"/>
      <c r="EK52" s="1" t="n"/>
      <c r="EL52" s="1" t="n"/>
      <c r="EM52" s="1" t="n"/>
      <c r="EN52" s="1" t="n"/>
      <c r="EO52" s="1" t="n"/>
      <c r="EP52" s="1" t="n"/>
      <c r="EQ52" s="1" t="n"/>
      <c r="ER52" s="1" t="n"/>
      <c r="ES52" s="1" t="n"/>
      <c r="ET52" s="1" t="n"/>
      <c r="EU52" s="1" t="n"/>
      <c r="EV52" s="1" t="n"/>
      <c r="EW52" s="1" t="n"/>
      <c r="EX52" s="1" t="n"/>
      <c r="EY52" s="1" t="n"/>
      <c r="EZ52" s="1" t="n"/>
      <c r="FA52" s="1" t="n"/>
      <c r="FB52" s="1" t="n"/>
      <c r="FC52" s="1" t="n"/>
      <c r="FD52" s="1" t="n"/>
      <c r="FE52" s="1" t="n"/>
      <c r="FF52" s="1" t="n"/>
      <c r="FG52" s="1" t="n"/>
      <c r="FH52" s="1" t="n"/>
      <c r="FI52" s="1" t="n"/>
      <c r="FJ52" s="1" t="n"/>
      <c r="FK52" s="1" t="n"/>
      <c r="FL52" s="1" t="n"/>
      <c r="FM52" s="1" t="n"/>
      <c r="FN52" s="1" t="n"/>
      <c r="FO52" s="1" t="n"/>
      <c r="FP52" s="1" t="n"/>
      <c r="FQ52" s="1" t="n"/>
      <c r="FR52" s="1" t="n"/>
      <c r="FS52" s="1" t="n"/>
      <c r="FT52" s="1" t="n"/>
      <c r="FU52" s="1" t="n"/>
      <c r="FV52" s="1" t="n"/>
      <c r="FW52" s="1" t="n"/>
      <c r="FX52" s="1" t="n"/>
      <c r="FY52" s="1" t="n"/>
      <c r="FZ52" s="1" t="n"/>
      <c r="GA52" s="1" t="n"/>
      <c r="GB52" s="1" t="n"/>
      <c r="GC52" s="1" t="n"/>
      <c r="GD52" s="1" t="n"/>
      <c r="GE52" s="1" t="n"/>
      <c r="GF52" s="1" t="n"/>
      <c r="GG52" s="1" t="n"/>
      <c r="GH52" s="1" t="n"/>
      <c r="GI52" s="1" t="n"/>
      <c r="GJ52" s="1" t="n"/>
      <c r="GK52" s="1" t="n"/>
      <c r="GL52" s="1" t="n"/>
      <c r="GM52" s="1" t="n"/>
      <c r="GN52" s="1" t="n"/>
      <c r="GO52" s="1" t="n"/>
      <c r="GP52" s="1" t="n"/>
      <c r="GQ52" s="1" t="n"/>
      <c r="GR52" s="1" t="n"/>
      <c r="GS52" s="1" t="n"/>
      <c r="GT52" s="1" t="n"/>
      <c r="GU52" s="1" t="n"/>
      <c r="GV52" s="1" t="n"/>
      <c r="GW52" s="1" t="n"/>
      <c r="GX52" s="1" t="n"/>
      <c r="GY52" s="1" t="n"/>
      <c r="GZ52" s="1" t="n"/>
      <c r="HA52" s="1" t="n"/>
      <c r="HB52" s="1" t="n"/>
      <c r="HC52" s="1" t="n"/>
      <c r="HD52" s="1" t="n"/>
      <c r="HE52" s="1" t="n"/>
      <c r="HF52" s="1" t="n"/>
      <c r="HG52" s="1" t="n"/>
      <c r="HH52" s="1" t="n"/>
      <c r="HI52" s="1" t="n"/>
      <c r="HJ52" s="1" t="n"/>
      <c r="HK52" s="1" t="n"/>
      <c r="HL52" s="1" t="n"/>
      <c r="HM52" s="1" t="n"/>
      <c r="HN52" s="1" t="n"/>
      <c r="HO52" s="1" t="n"/>
      <c r="HP52" s="1" t="n"/>
      <c r="HQ52" s="1" t="n"/>
      <c r="HR52" s="1" t="n"/>
      <c r="HS52" s="1" t="n"/>
      <c r="HT52" s="1" t="n"/>
      <c r="HU52" s="1" t="n"/>
      <c r="HV52" s="1" t="n"/>
      <c r="HW52" s="1" t="n"/>
      <c r="HX52" s="1" t="n"/>
      <c r="HY52" s="1" t="n"/>
      <c r="HZ52" s="1" t="n"/>
      <c r="IA52" s="1" t="n"/>
      <c r="IB52" s="1" t="n"/>
      <c r="IC52" s="1" t="n"/>
      <c r="ID52" s="1" t="n"/>
      <c r="IE52" s="1" t="n"/>
      <c r="IF52" s="1" t="n"/>
      <c r="IG52" s="1" t="n"/>
      <c r="IH52" s="1" t="n"/>
      <c r="II52" s="1" t="n"/>
      <c r="IJ52" s="1" t="n"/>
      <c r="IK52" s="1" t="n"/>
      <c r="IL52" s="1" t="n"/>
      <c r="IM52" s="1" t="n"/>
      <c r="IN52" s="1" t="n"/>
      <c r="IO52" s="1" t="n"/>
      <c r="IP52" s="1" t="n"/>
      <c r="IQ52" s="1" t="n"/>
      <c r="IR52" s="1" t="n"/>
      <c r="IS52" s="1" t="n"/>
      <c r="IT52" s="1" t="n"/>
      <c r="IU52" s="1" t="n"/>
      <c r="IV52" s="1" t="n"/>
      <c r="IW52" s="1" t="n"/>
    </row>
    <row r="53">
      <c r="A53" s="31" t="n"/>
      <c r="B53" s="31" t="n"/>
      <c r="C53" s="31" t="n"/>
      <c r="D53" s="170" t="n"/>
      <c r="E53" s="170" t="n"/>
      <c r="F53" s="54" t="n"/>
      <c r="G53" s="31" t="n"/>
      <c r="H53" s="31" t="n"/>
      <c r="I53" s="31" t="n"/>
      <c r="J53" s="31" t="n"/>
      <c r="K53" s="31" t="n"/>
      <c r="L53" s="3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  <c r="DE53" s="1" t="n"/>
      <c r="DF53" s="1" t="n"/>
      <c r="DG53" s="1" t="n"/>
      <c r="DH53" s="1" t="n"/>
      <c r="DI53" s="1" t="n"/>
      <c r="DJ53" s="1" t="n"/>
      <c r="DK53" s="1" t="n"/>
      <c r="DL53" s="1" t="n"/>
      <c r="DM53" s="1" t="n"/>
      <c r="DN53" s="1" t="n"/>
      <c r="DO53" s="1" t="n"/>
      <c r="DP53" s="1" t="n"/>
      <c r="DQ53" s="1" t="n"/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C53" s="1" t="n"/>
      <c r="ED53" s="1" t="n"/>
      <c r="EE53" s="1" t="n"/>
      <c r="EF53" s="1" t="n"/>
      <c r="EG53" s="1" t="n"/>
      <c r="EH53" s="1" t="n"/>
      <c r="EI53" s="1" t="n"/>
      <c r="EJ53" s="1" t="n"/>
      <c r="EK53" s="1" t="n"/>
      <c r="EL53" s="1" t="n"/>
      <c r="EM53" s="1" t="n"/>
      <c r="EN53" s="1" t="n"/>
      <c r="EO53" s="1" t="n"/>
      <c r="EP53" s="1" t="n"/>
      <c r="EQ53" s="1" t="n"/>
      <c r="ER53" s="1" t="n"/>
      <c r="ES53" s="1" t="n"/>
      <c r="ET53" s="1" t="n"/>
      <c r="EU53" s="1" t="n"/>
      <c r="EV53" s="1" t="n"/>
      <c r="EW53" s="1" t="n"/>
      <c r="EX53" s="1" t="n"/>
      <c r="EY53" s="1" t="n"/>
      <c r="EZ53" s="1" t="n"/>
      <c r="FA53" s="1" t="n"/>
      <c r="FB53" s="1" t="n"/>
      <c r="FC53" s="1" t="n"/>
      <c r="FD53" s="1" t="n"/>
      <c r="FE53" s="1" t="n"/>
      <c r="FF53" s="1" t="n"/>
      <c r="FG53" s="1" t="n"/>
      <c r="FH53" s="1" t="n"/>
      <c r="FI53" s="1" t="n"/>
      <c r="FJ53" s="1" t="n"/>
      <c r="FK53" s="1" t="n"/>
      <c r="FL53" s="1" t="n"/>
      <c r="FM53" s="1" t="n"/>
      <c r="FN53" s="1" t="n"/>
      <c r="FO53" s="1" t="n"/>
      <c r="FP53" s="1" t="n"/>
      <c r="FQ53" s="1" t="n"/>
      <c r="FR53" s="1" t="n"/>
      <c r="FS53" s="1" t="n"/>
      <c r="FT53" s="1" t="n"/>
      <c r="FU53" s="1" t="n"/>
      <c r="FV53" s="1" t="n"/>
      <c r="FW53" s="1" t="n"/>
      <c r="FX53" s="1" t="n"/>
      <c r="FY53" s="1" t="n"/>
      <c r="FZ53" s="1" t="n"/>
      <c r="GA53" s="1" t="n"/>
      <c r="GB53" s="1" t="n"/>
      <c r="GC53" s="1" t="n"/>
      <c r="GD53" s="1" t="n"/>
      <c r="GE53" s="1" t="n"/>
      <c r="GF53" s="1" t="n"/>
      <c r="GG53" s="1" t="n"/>
      <c r="GH53" s="1" t="n"/>
      <c r="GI53" s="1" t="n"/>
      <c r="GJ53" s="1" t="n"/>
      <c r="GK53" s="1" t="n"/>
      <c r="GL53" s="1" t="n"/>
      <c r="GM53" s="1" t="n"/>
      <c r="GN53" s="1" t="n"/>
      <c r="GO53" s="1" t="n"/>
      <c r="GP53" s="1" t="n"/>
      <c r="GQ53" s="1" t="n"/>
      <c r="GR53" s="1" t="n"/>
      <c r="GS53" s="1" t="n"/>
      <c r="GT53" s="1" t="n"/>
      <c r="GU53" s="1" t="n"/>
      <c r="GV53" s="1" t="n"/>
      <c r="GW53" s="1" t="n"/>
      <c r="GX53" s="1" t="n"/>
      <c r="GY53" s="1" t="n"/>
      <c r="GZ53" s="1" t="n"/>
      <c r="HA53" s="1" t="n"/>
      <c r="HB53" s="1" t="n"/>
      <c r="HC53" s="1" t="n"/>
      <c r="HD53" s="1" t="n"/>
      <c r="HE53" s="1" t="n"/>
      <c r="HF53" s="1" t="n"/>
      <c r="HG53" s="1" t="n"/>
      <c r="HH53" s="1" t="n"/>
      <c r="HI53" s="1" t="n"/>
      <c r="HJ53" s="1" t="n"/>
      <c r="HK53" s="1" t="n"/>
      <c r="HL53" s="1" t="n"/>
      <c r="HM53" s="1" t="n"/>
      <c r="HN53" s="1" t="n"/>
      <c r="HO53" s="1" t="n"/>
      <c r="HP53" s="1" t="n"/>
      <c r="HQ53" s="1" t="n"/>
      <c r="HR53" s="1" t="n"/>
      <c r="HS53" s="1" t="n"/>
      <c r="HT53" s="1" t="n"/>
      <c r="HU53" s="1" t="n"/>
      <c r="HV53" s="1" t="n"/>
      <c r="HW53" s="1" t="n"/>
      <c r="HX53" s="1" t="n"/>
      <c r="HY53" s="1" t="n"/>
      <c r="HZ53" s="1" t="n"/>
      <c r="IA53" s="1" t="n"/>
      <c r="IB53" s="1" t="n"/>
      <c r="IC53" s="1" t="n"/>
      <c r="ID53" s="1" t="n"/>
      <c r="IE53" s="1" t="n"/>
      <c r="IF53" s="1" t="n"/>
      <c r="IG53" s="1" t="n"/>
      <c r="IH53" s="1" t="n"/>
      <c r="II53" s="1" t="n"/>
      <c r="IJ53" s="1" t="n"/>
      <c r="IK53" s="1" t="n"/>
      <c r="IL53" s="1" t="n"/>
      <c r="IM53" s="1" t="n"/>
      <c r="IN53" s="1" t="n"/>
      <c r="IO53" s="1" t="n"/>
      <c r="IP53" s="1" t="n"/>
      <c r="IQ53" s="1" t="n"/>
      <c r="IR53" s="1" t="n"/>
      <c r="IS53" s="1" t="n"/>
      <c r="IT53" s="1" t="n"/>
      <c r="IU53" s="1" t="n"/>
      <c r="IV53" s="1" t="n"/>
      <c r="IW53" s="1" t="n"/>
    </row>
    <row r="54">
      <c r="A54" s="1" t="n"/>
      <c r="B54" s="1" t="n"/>
      <c r="C54" s="1" t="n"/>
      <c r="D54" s="166" t="n"/>
      <c r="E54" s="166" t="n"/>
      <c r="F54" s="111" t="n"/>
      <c r="G54" s="1" t="n"/>
      <c r="H54" s="1" t="n"/>
      <c r="I54" s="1" t="n"/>
      <c r="J54" s="1" t="n"/>
      <c r="K54" s="1" t="n"/>
      <c r="L54" s="167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  <c r="DE54" s="1" t="n"/>
      <c r="DF54" s="1" t="n"/>
      <c r="DG54" s="1" t="n"/>
      <c r="DH54" s="1" t="n"/>
      <c r="DI54" s="1" t="n"/>
      <c r="DJ54" s="1" t="n"/>
      <c r="DK54" s="1" t="n"/>
      <c r="DL54" s="1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C54" s="1" t="n"/>
      <c r="ED54" s="1" t="n"/>
      <c r="EE54" s="1" t="n"/>
      <c r="EF54" s="1" t="n"/>
      <c r="EG54" s="1" t="n"/>
      <c r="EH54" s="1" t="n"/>
      <c r="EI54" s="1" t="n"/>
      <c r="EJ54" s="1" t="n"/>
      <c r="EK54" s="1" t="n"/>
      <c r="EL54" s="1" t="n"/>
      <c r="EM54" s="1" t="n"/>
      <c r="EN54" s="1" t="n"/>
      <c r="EO54" s="1" t="n"/>
      <c r="EP54" s="1" t="n"/>
      <c r="EQ54" s="1" t="n"/>
      <c r="ER54" s="1" t="n"/>
      <c r="ES54" s="1" t="n"/>
      <c r="ET54" s="1" t="n"/>
      <c r="EU54" s="1" t="n"/>
      <c r="EV54" s="1" t="n"/>
      <c r="EW54" s="1" t="n"/>
      <c r="EX54" s="1" t="n"/>
      <c r="EY54" s="1" t="n"/>
      <c r="EZ54" s="1" t="n"/>
      <c r="FA54" s="1" t="n"/>
      <c r="FB54" s="1" t="n"/>
      <c r="FC54" s="1" t="n"/>
      <c r="FD54" s="1" t="n"/>
      <c r="FE54" s="1" t="n"/>
      <c r="FF54" s="1" t="n"/>
      <c r="FG54" s="1" t="n"/>
      <c r="FH54" s="1" t="n"/>
      <c r="FI54" s="1" t="n"/>
      <c r="FJ54" s="1" t="n"/>
      <c r="FK54" s="1" t="n"/>
      <c r="FL54" s="1" t="n"/>
      <c r="FM54" s="1" t="n"/>
      <c r="FN54" s="1" t="n"/>
      <c r="FO54" s="1" t="n"/>
      <c r="FP54" s="1" t="n"/>
      <c r="FQ54" s="1" t="n"/>
      <c r="FR54" s="1" t="n"/>
      <c r="FS54" s="1" t="n"/>
      <c r="FT54" s="1" t="n"/>
      <c r="FU54" s="1" t="n"/>
      <c r="FV54" s="1" t="n"/>
      <c r="FW54" s="1" t="n"/>
      <c r="FX54" s="1" t="n"/>
      <c r="FY54" s="1" t="n"/>
      <c r="FZ54" s="1" t="n"/>
      <c r="GA54" s="1" t="n"/>
      <c r="GB54" s="1" t="n"/>
      <c r="GC54" s="1" t="n"/>
      <c r="GD54" s="1" t="n"/>
      <c r="GE54" s="1" t="n"/>
      <c r="GF54" s="1" t="n"/>
      <c r="GG54" s="1" t="n"/>
      <c r="GH54" s="1" t="n"/>
      <c r="GI54" s="1" t="n"/>
      <c r="GJ54" s="1" t="n"/>
      <c r="GK54" s="1" t="n"/>
      <c r="GL54" s="1" t="n"/>
      <c r="GM54" s="1" t="n"/>
      <c r="GN54" s="1" t="n"/>
      <c r="GO54" s="1" t="n"/>
      <c r="GP54" s="1" t="n"/>
      <c r="GQ54" s="1" t="n"/>
      <c r="GR54" s="1" t="n"/>
      <c r="GS54" s="1" t="n"/>
      <c r="GT54" s="1" t="n"/>
      <c r="GU54" s="1" t="n"/>
      <c r="GV54" s="1" t="n"/>
      <c r="GW54" s="1" t="n"/>
      <c r="GX54" s="1" t="n"/>
      <c r="GY54" s="1" t="n"/>
      <c r="GZ54" s="1" t="n"/>
      <c r="HA54" s="1" t="n"/>
      <c r="HB54" s="1" t="n"/>
      <c r="HC54" s="1" t="n"/>
      <c r="HD54" s="1" t="n"/>
      <c r="HE54" s="1" t="n"/>
      <c r="HF54" s="1" t="n"/>
      <c r="HG54" s="1" t="n"/>
      <c r="HH54" s="1" t="n"/>
      <c r="HI54" s="1" t="n"/>
      <c r="HJ54" s="1" t="n"/>
      <c r="HK54" s="1" t="n"/>
      <c r="HL54" s="1" t="n"/>
      <c r="HM54" s="1" t="n"/>
      <c r="HN54" s="1" t="n"/>
      <c r="HO54" s="1" t="n"/>
      <c r="HP54" s="1" t="n"/>
      <c r="HQ54" s="1" t="n"/>
      <c r="HR54" s="1" t="n"/>
      <c r="HS54" s="1" t="n"/>
      <c r="HT54" s="1" t="n"/>
      <c r="HU54" s="1" t="n"/>
      <c r="HV54" s="1" t="n"/>
      <c r="HW54" s="1" t="n"/>
      <c r="HX54" s="1" t="n"/>
      <c r="HY54" s="1" t="n"/>
      <c r="HZ54" s="1" t="n"/>
      <c r="IA54" s="1" t="n"/>
      <c r="IB54" s="1" t="n"/>
      <c r="IC54" s="1" t="n"/>
      <c r="ID54" s="1" t="n"/>
      <c r="IE54" s="1" t="n"/>
      <c r="IF54" s="1" t="n"/>
      <c r="IG54" s="1" t="n"/>
      <c r="IH54" s="1" t="n"/>
      <c r="II54" s="1" t="n"/>
      <c r="IJ54" s="1" t="n"/>
      <c r="IK54" s="1" t="n"/>
      <c r="IL54" s="1" t="n"/>
      <c r="IM54" s="1" t="n"/>
      <c r="IN54" s="1" t="n"/>
      <c r="IO54" s="1" t="n"/>
      <c r="IP54" s="1" t="n"/>
      <c r="IQ54" s="1" t="n"/>
      <c r="IR54" s="1" t="n"/>
      <c r="IS54" s="1" t="n"/>
      <c r="IT54" s="1" t="n"/>
      <c r="IU54" s="1" t="n"/>
      <c r="IV54" s="1" t="n"/>
      <c r="IW54" s="1" t="n"/>
    </row>
  </sheetData>
  <mergeCells count="6">
    <mergeCell ref="A2:L2"/>
    <mergeCell ref="A11:C11"/>
    <mergeCell ref="A1:L1"/>
    <mergeCell ref="A3:L3"/>
    <mergeCell ref="A20:C20"/>
    <mergeCell ref="A4:L4"/>
  </mergeCells>
  <printOptions horizontalCentered="1"/>
  <pageMargins left="0" right="0" top="0.3937007874015748" bottom="0" header="0.5118110236220472" footer="0.5118110236220472"/>
  <pageSetup orientation="portrait" paperSize="9" scale="65" fitToHeight="0"/>
</worksheet>
</file>

<file path=xl/worksheets/sheet2.xml><?xml version="1.0" encoding="utf-8"?>
<worksheet xmlns="http://schemas.openxmlformats.org/spreadsheetml/2006/main">
  <sheetPr codeName="工作表9">
    <outlinePr summaryBelow="1" summaryRight="1"/>
    <pageSetUpPr/>
  </sheetPr>
  <dimension ref="A1:IV49"/>
  <sheetViews>
    <sheetView view="pageBreakPreview" zoomScale="115" zoomScaleNormal="100" zoomScaleSheetLayoutView="115" workbookViewId="0">
      <selection activeCell="B14" sqref="B14"/>
    </sheetView>
  </sheetViews>
  <sheetFormatPr baseColWidth="8" defaultRowHeight="14"/>
  <cols>
    <col width="3.6328125" customWidth="1" style="55" min="1" max="1"/>
    <col width="17.36328125" customWidth="1" style="55" min="2" max="2"/>
    <col width="63.08984375" customWidth="1" style="55" min="3" max="3"/>
    <col width="8.6328125" customWidth="1" style="55" min="4" max="4"/>
    <col width="12.6328125" customWidth="1" style="55" min="5" max="5"/>
    <col width="14.6328125" customWidth="1" style="55" min="6" max="6"/>
    <col width="11.7265625" customWidth="1" style="55" min="7" max="7"/>
    <col width="9" customWidth="1" style="55" min="8" max="256"/>
    <col width="3.6328125" customWidth="1" style="55" min="257" max="257"/>
    <col width="17.36328125" customWidth="1" style="55" min="258" max="258"/>
    <col width="63.08984375" customWidth="1" style="55" min="259" max="259"/>
    <col width="8.6328125" customWidth="1" style="55" min="260" max="260"/>
    <col width="12.6328125" customWidth="1" style="55" min="261" max="261"/>
    <col width="14.6328125" customWidth="1" style="55" min="262" max="262"/>
    <col width="11.7265625" customWidth="1" style="55" min="263" max="263"/>
    <col width="9" customWidth="1" style="55" min="264" max="512"/>
    <col width="3.6328125" customWidth="1" style="55" min="513" max="513"/>
    <col width="17.36328125" customWidth="1" style="55" min="514" max="514"/>
    <col width="63.08984375" customWidth="1" style="55" min="515" max="515"/>
    <col width="8.6328125" customWidth="1" style="55" min="516" max="516"/>
    <col width="12.6328125" customWidth="1" style="55" min="517" max="517"/>
    <col width="14.6328125" customWidth="1" style="55" min="518" max="518"/>
    <col width="11.7265625" customWidth="1" style="55" min="519" max="519"/>
    <col width="9" customWidth="1" style="55" min="520" max="768"/>
    <col width="3.6328125" customWidth="1" style="55" min="769" max="769"/>
    <col width="17.36328125" customWidth="1" style="55" min="770" max="770"/>
    <col width="63.08984375" customWidth="1" style="55" min="771" max="771"/>
    <col width="8.6328125" customWidth="1" style="55" min="772" max="772"/>
    <col width="12.6328125" customWidth="1" style="55" min="773" max="773"/>
    <col width="14.6328125" customWidth="1" style="55" min="774" max="774"/>
    <col width="11.7265625" customWidth="1" style="55" min="775" max="775"/>
    <col width="9" customWidth="1" style="55" min="776" max="1024"/>
    <col width="3.6328125" customWidth="1" style="55" min="1025" max="1025"/>
    <col width="17.36328125" customWidth="1" style="55" min="1026" max="1026"/>
    <col width="63.08984375" customWidth="1" style="55" min="1027" max="1027"/>
    <col width="8.6328125" customWidth="1" style="55" min="1028" max="1028"/>
    <col width="12.6328125" customWidth="1" style="55" min="1029" max="1029"/>
    <col width="14.6328125" customWidth="1" style="55" min="1030" max="1030"/>
    <col width="11.7265625" customWidth="1" style="55" min="1031" max="1031"/>
    <col width="9" customWidth="1" style="55" min="1032" max="1280"/>
    <col width="3.6328125" customWidth="1" style="55" min="1281" max="1281"/>
    <col width="17.36328125" customWidth="1" style="55" min="1282" max="1282"/>
    <col width="63.08984375" customWidth="1" style="55" min="1283" max="1283"/>
    <col width="8.6328125" customWidth="1" style="55" min="1284" max="1284"/>
    <col width="12.6328125" customWidth="1" style="55" min="1285" max="1285"/>
    <col width="14.6328125" customWidth="1" style="55" min="1286" max="1286"/>
    <col width="11.7265625" customWidth="1" style="55" min="1287" max="1287"/>
    <col width="9" customWidth="1" style="55" min="1288" max="1536"/>
    <col width="3.6328125" customWidth="1" style="55" min="1537" max="1537"/>
    <col width="17.36328125" customWidth="1" style="55" min="1538" max="1538"/>
    <col width="63.08984375" customWidth="1" style="55" min="1539" max="1539"/>
    <col width="8.6328125" customWidth="1" style="55" min="1540" max="1540"/>
    <col width="12.6328125" customWidth="1" style="55" min="1541" max="1541"/>
    <col width="14.6328125" customWidth="1" style="55" min="1542" max="1542"/>
    <col width="11.7265625" customWidth="1" style="55" min="1543" max="1543"/>
    <col width="9" customWidth="1" style="55" min="1544" max="1792"/>
    <col width="3.6328125" customWidth="1" style="55" min="1793" max="1793"/>
    <col width="17.36328125" customWidth="1" style="55" min="1794" max="1794"/>
    <col width="63.08984375" customWidth="1" style="55" min="1795" max="1795"/>
    <col width="8.6328125" customWidth="1" style="55" min="1796" max="1796"/>
    <col width="12.6328125" customWidth="1" style="55" min="1797" max="1797"/>
    <col width="14.6328125" customWidth="1" style="55" min="1798" max="1798"/>
    <col width="11.7265625" customWidth="1" style="55" min="1799" max="1799"/>
    <col width="9" customWidth="1" style="55" min="1800" max="2048"/>
    <col width="3.6328125" customWidth="1" style="55" min="2049" max="2049"/>
    <col width="17.36328125" customWidth="1" style="55" min="2050" max="2050"/>
    <col width="63.08984375" customWidth="1" style="55" min="2051" max="2051"/>
    <col width="8.6328125" customWidth="1" style="55" min="2052" max="2052"/>
    <col width="12.6328125" customWidth="1" style="55" min="2053" max="2053"/>
    <col width="14.6328125" customWidth="1" style="55" min="2054" max="2054"/>
    <col width="11.7265625" customWidth="1" style="55" min="2055" max="2055"/>
    <col width="9" customWidth="1" style="55" min="2056" max="2304"/>
    <col width="3.6328125" customWidth="1" style="55" min="2305" max="2305"/>
    <col width="17.36328125" customWidth="1" style="55" min="2306" max="2306"/>
    <col width="63.08984375" customWidth="1" style="55" min="2307" max="2307"/>
    <col width="8.6328125" customWidth="1" style="55" min="2308" max="2308"/>
    <col width="12.6328125" customWidth="1" style="55" min="2309" max="2309"/>
    <col width="14.6328125" customWidth="1" style="55" min="2310" max="2310"/>
    <col width="11.7265625" customWidth="1" style="55" min="2311" max="2311"/>
    <col width="9" customWidth="1" style="55" min="2312" max="2560"/>
    <col width="3.6328125" customWidth="1" style="55" min="2561" max="2561"/>
    <col width="17.36328125" customWidth="1" style="55" min="2562" max="2562"/>
    <col width="63.08984375" customWidth="1" style="55" min="2563" max="2563"/>
    <col width="8.6328125" customWidth="1" style="55" min="2564" max="2564"/>
    <col width="12.6328125" customWidth="1" style="55" min="2565" max="2565"/>
    <col width="14.6328125" customWidth="1" style="55" min="2566" max="2566"/>
    <col width="11.7265625" customWidth="1" style="55" min="2567" max="2567"/>
    <col width="9" customWidth="1" style="55" min="2568" max="2816"/>
    <col width="3.6328125" customWidth="1" style="55" min="2817" max="2817"/>
    <col width="17.36328125" customWidth="1" style="55" min="2818" max="2818"/>
    <col width="63.08984375" customWidth="1" style="55" min="2819" max="2819"/>
    <col width="8.6328125" customWidth="1" style="55" min="2820" max="2820"/>
    <col width="12.6328125" customWidth="1" style="55" min="2821" max="2821"/>
    <col width="14.6328125" customWidth="1" style="55" min="2822" max="2822"/>
    <col width="11.7265625" customWidth="1" style="55" min="2823" max="2823"/>
    <col width="9" customWidth="1" style="55" min="2824" max="3072"/>
    <col width="3.6328125" customWidth="1" style="55" min="3073" max="3073"/>
    <col width="17.36328125" customWidth="1" style="55" min="3074" max="3074"/>
    <col width="63.08984375" customWidth="1" style="55" min="3075" max="3075"/>
    <col width="8.6328125" customWidth="1" style="55" min="3076" max="3076"/>
    <col width="12.6328125" customWidth="1" style="55" min="3077" max="3077"/>
    <col width="14.6328125" customWidth="1" style="55" min="3078" max="3078"/>
    <col width="11.7265625" customWidth="1" style="55" min="3079" max="3079"/>
    <col width="9" customWidth="1" style="55" min="3080" max="3328"/>
    <col width="3.6328125" customWidth="1" style="55" min="3329" max="3329"/>
    <col width="17.36328125" customWidth="1" style="55" min="3330" max="3330"/>
    <col width="63.08984375" customWidth="1" style="55" min="3331" max="3331"/>
    <col width="8.6328125" customWidth="1" style="55" min="3332" max="3332"/>
    <col width="12.6328125" customWidth="1" style="55" min="3333" max="3333"/>
    <col width="14.6328125" customWidth="1" style="55" min="3334" max="3334"/>
    <col width="11.7265625" customWidth="1" style="55" min="3335" max="3335"/>
    <col width="9" customWidth="1" style="55" min="3336" max="3584"/>
    <col width="3.6328125" customWidth="1" style="55" min="3585" max="3585"/>
    <col width="17.36328125" customWidth="1" style="55" min="3586" max="3586"/>
    <col width="63.08984375" customWidth="1" style="55" min="3587" max="3587"/>
    <col width="8.6328125" customWidth="1" style="55" min="3588" max="3588"/>
    <col width="12.6328125" customWidth="1" style="55" min="3589" max="3589"/>
    <col width="14.6328125" customWidth="1" style="55" min="3590" max="3590"/>
    <col width="11.7265625" customWidth="1" style="55" min="3591" max="3591"/>
    <col width="9" customWidth="1" style="55" min="3592" max="3840"/>
    <col width="3.6328125" customWidth="1" style="55" min="3841" max="3841"/>
    <col width="17.36328125" customWidth="1" style="55" min="3842" max="3842"/>
    <col width="63.08984375" customWidth="1" style="55" min="3843" max="3843"/>
    <col width="8.6328125" customWidth="1" style="55" min="3844" max="3844"/>
    <col width="12.6328125" customWidth="1" style="55" min="3845" max="3845"/>
    <col width="14.6328125" customWidth="1" style="55" min="3846" max="3846"/>
    <col width="11.7265625" customWidth="1" style="55" min="3847" max="3847"/>
    <col width="9" customWidth="1" style="55" min="3848" max="4096"/>
    <col width="3.6328125" customWidth="1" style="55" min="4097" max="4097"/>
    <col width="17.36328125" customWidth="1" style="55" min="4098" max="4098"/>
    <col width="63.08984375" customWidth="1" style="55" min="4099" max="4099"/>
    <col width="8.6328125" customWidth="1" style="55" min="4100" max="4100"/>
    <col width="12.6328125" customWidth="1" style="55" min="4101" max="4101"/>
    <col width="14.6328125" customWidth="1" style="55" min="4102" max="4102"/>
    <col width="11.7265625" customWidth="1" style="55" min="4103" max="4103"/>
    <col width="9" customWidth="1" style="55" min="4104" max="4352"/>
    <col width="3.6328125" customWidth="1" style="55" min="4353" max="4353"/>
    <col width="17.36328125" customWidth="1" style="55" min="4354" max="4354"/>
    <col width="63.08984375" customWidth="1" style="55" min="4355" max="4355"/>
    <col width="8.6328125" customWidth="1" style="55" min="4356" max="4356"/>
    <col width="12.6328125" customWidth="1" style="55" min="4357" max="4357"/>
    <col width="14.6328125" customWidth="1" style="55" min="4358" max="4358"/>
    <col width="11.7265625" customWidth="1" style="55" min="4359" max="4359"/>
    <col width="9" customWidth="1" style="55" min="4360" max="4608"/>
    <col width="3.6328125" customWidth="1" style="55" min="4609" max="4609"/>
    <col width="17.36328125" customWidth="1" style="55" min="4610" max="4610"/>
    <col width="63.08984375" customWidth="1" style="55" min="4611" max="4611"/>
    <col width="8.6328125" customWidth="1" style="55" min="4612" max="4612"/>
    <col width="12.6328125" customWidth="1" style="55" min="4613" max="4613"/>
    <col width="14.6328125" customWidth="1" style="55" min="4614" max="4614"/>
    <col width="11.7265625" customWidth="1" style="55" min="4615" max="4615"/>
    <col width="9" customWidth="1" style="55" min="4616" max="4864"/>
    <col width="3.6328125" customWidth="1" style="55" min="4865" max="4865"/>
    <col width="17.36328125" customWidth="1" style="55" min="4866" max="4866"/>
    <col width="63.08984375" customWidth="1" style="55" min="4867" max="4867"/>
    <col width="8.6328125" customWidth="1" style="55" min="4868" max="4868"/>
    <col width="12.6328125" customWidth="1" style="55" min="4869" max="4869"/>
    <col width="14.6328125" customWidth="1" style="55" min="4870" max="4870"/>
    <col width="11.7265625" customWidth="1" style="55" min="4871" max="4871"/>
    <col width="9" customWidth="1" style="55" min="4872" max="5120"/>
    <col width="3.6328125" customWidth="1" style="55" min="5121" max="5121"/>
    <col width="17.36328125" customWidth="1" style="55" min="5122" max="5122"/>
    <col width="63.08984375" customWidth="1" style="55" min="5123" max="5123"/>
    <col width="8.6328125" customWidth="1" style="55" min="5124" max="5124"/>
    <col width="12.6328125" customWidth="1" style="55" min="5125" max="5125"/>
    <col width="14.6328125" customWidth="1" style="55" min="5126" max="5126"/>
    <col width="11.7265625" customWidth="1" style="55" min="5127" max="5127"/>
    <col width="9" customWidth="1" style="55" min="5128" max="5376"/>
    <col width="3.6328125" customWidth="1" style="55" min="5377" max="5377"/>
    <col width="17.36328125" customWidth="1" style="55" min="5378" max="5378"/>
    <col width="63.08984375" customWidth="1" style="55" min="5379" max="5379"/>
    <col width="8.6328125" customWidth="1" style="55" min="5380" max="5380"/>
    <col width="12.6328125" customWidth="1" style="55" min="5381" max="5381"/>
    <col width="14.6328125" customWidth="1" style="55" min="5382" max="5382"/>
    <col width="11.7265625" customWidth="1" style="55" min="5383" max="5383"/>
    <col width="9" customWidth="1" style="55" min="5384" max="5632"/>
    <col width="3.6328125" customWidth="1" style="55" min="5633" max="5633"/>
    <col width="17.36328125" customWidth="1" style="55" min="5634" max="5634"/>
    <col width="63.08984375" customWidth="1" style="55" min="5635" max="5635"/>
    <col width="8.6328125" customWidth="1" style="55" min="5636" max="5636"/>
    <col width="12.6328125" customWidth="1" style="55" min="5637" max="5637"/>
    <col width="14.6328125" customWidth="1" style="55" min="5638" max="5638"/>
    <col width="11.7265625" customWidth="1" style="55" min="5639" max="5639"/>
    <col width="9" customWidth="1" style="55" min="5640" max="5888"/>
    <col width="3.6328125" customWidth="1" style="55" min="5889" max="5889"/>
    <col width="17.36328125" customWidth="1" style="55" min="5890" max="5890"/>
    <col width="63.08984375" customWidth="1" style="55" min="5891" max="5891"/>
    <col width="8.6328125" customWidth="1" style="55" min="5892" max="5892"/>
    <col width="12.6328125" customWidth="1" style="55" min="5893" max="5893"/>
    <col width="14.6328125" customWidth="1" style="55" min="5894" max="5894"/>
    <col width="11.7265625" customWidth="1" style="55" min="5895" max="5895"/>
    <col width="9" customWidth="1" style="55" min="5896" max="6144"/>
    <col width="3.6328125" customWidth="1" style="55" min="6145" max="6145"/>
    <col width="17.36328125" customWidth="1" style="55" min="6146" max="6146"/>
    <col width="63.08984375" customWidth="1" style="55" min="6147" max="6147"/>
    <col width="8.6328125" customWidth="1" style="55" min="6148" max="6148"/>
    <col width="12.6328125" customWidth="1" style="55" min="6149" max="6149"/>
    <col width="14.6328125" customWidth="1" style="55" min="6150" max="6150"/>
    <col width="11.7265625" customWidth="1" style="55" min="6151" max="6151"/>
    <col width="9" customWidth="1" style="55" min="6152" max="6400"/>
    <col width="3.6328125" customWidth="1" style="55" min="6401" max="6401"/>
    <col width="17.36328125" customWidth="1" style="55" min="6402" max="6402"/>
    <col width="63.08984375" customWidth="1" style="55" min="6403" max="6403"/>
    <col width="8.6328125" customWidth="1" style="55" min="6404" max="6404"/>
    <col width="12.6328125" customWidth="1" style="55" min="6405" max="6405"/>
    <col width="14.6328125" customWidth="1" style="55" min="6406" max="6406"/>
    <col width="11.7265625" customWidth="1" style="55" min="6407" max="6407"/>
    <col width="9" customWidth="1" style="55" min="6408" max="6656"/>
    <col width="3.6328125" customWidth="1" style="55" min="6657" max="6657"/>
    <col width="17.36328125" customWidth="1" style="55" min="6658" max="6658"/>
    <col width="63.08984375" customWidth="1" style="55" min="6659" max="6659"/>
    <col width="8.6328125" customWidth="1" style="55" min="6660" max="6660"/>
    <col width="12.6328125" customWidth="1" style="55" min="6661" max="6661"/>
    <col width="14.6328125" customWidth="1" style="55" min="6662" max="6662"/>
    <col width="11.7265625" customWidth="1" style="55" min="6663" max="6663"/>
    <col width="9" customWidth="1" style="55" min="6664" max="6912"/>
    <col width="3.6328125" customWidth="1" style="55" min="6913" max="6913"/>
    <col width="17.36328125" customWidth="1" style="55" min="6914" max="6914"/>
    <col width="63.08984375" customWidth="1" style="55" min="6915" max="6915"/>
    <col width="8.6328125" customWidth="1" style="55" min="6916" max="6916"/>
    <col width="12.6328125" customWidth="1" style="55" min="6917" max="6917"/>
    <col width="14.6328125" customWidth="1" style="55" min="6918" max="6918"/>
    <col width="11.7265625" customWidth="1" style="55" min="6919" max="6919"/>
    <col width="9" customWidth="1" style="55" min="6920" max="7168"/>
    <col width="3.6328125" customWidth="1" style="55" min="7169" max="7169"/>
    <col width="17.36328125" customWidth="1" style="55" min="7170" max="7170"/>
    <col width="63.08984375" customWidth="1" style="55" min="7171" max="7171"/>
    <col width="8.6328125" customWidth="1" style="55" min="7172" max="7172"/>
    <col width="12.6328125" customWidth="1" style="55" min="7173" max="7173"/>
    <col width="14.6328125" customWidth="1" style="55" min="7174" max="7174"/>
    <col width="11.7265625" customWidth="1" style="55" min="7175" max="7175"/>
    <col width="9" customWidth="1" style="55" min="7176" max="7424"/>
    <col width="3.6328125" customWidth="1" style="55" min="7425" max="7425"/>
    <col width="17.36328125" customWidth="1" style="55" min="7426" max="7426"/>
    <col width="63.08984375" customWidth="1" style="55" min="7427" max="7427"/>
    <col width="8.6328125" customWidth="1" style="55" min="7428" max="7428"/>
    <col width="12.6328125" customWidth="1" style="55" min="7429" max="7429"/>
    <col width="14.6328125" customWidth="1" style="55" min="7430" max="7430"/>
    <col width="11.7265625" customWidth="1" style="55" min="7431" max="7431"/>
    <col width="9" customWidth="1" style="55" min="7432" max="7680"/>
    <col width="3.6328125" customWidth="1" style="55" min="7681" max="7681"/>
    <col width="17.36328125" customWidth="1" style="55" min="7682" max="7682"/>
    <col width="63.08984375" customWidth="1" style="55" min="7683" max="7683"/>
    <col width="8.6328125" customWidth="1" style="55" min="7684" max="7684"/>
    <col width="12.6328125" customWidth="1" style="55" min="7685" max="7685"/>
    <col width="14.6328125" customWidth="1" style="55" min="7686" max="7686"/>
    <col width="11.7265625" customWidth="1" style="55" min="7687" max="7687"/>
    <col width="9" customWidth="1" style="55" min="7688" max="7936"/>
    <col width="3.6328125" customWidth="1" style="55" min="7937" max="7937"/>
    <col width="17.36328125" customWidth="1" style="55" min="7938" max="7938"/>
    <col width="63.08984375" customWidth="1" style="55" min="7939" max="7939"/>
    <col width="8.6328125" customWidth="1" style="55" min="7940" max="7940"/>
    <col width="12.6328125" customWidth="1" style="55" min="7941" max="7941"/>
    <col width="14.6328125" customWidth="1" style="55" min="7942" max="7942"/>
    <col width="11.7265625" customWidth="1" style="55" min="7943" max="7943"/>
    <col width="9" customWidth="1" style="55" min="7944" max="8192"/>
    <col width="3.6328125" customWidth="1" style="55" min="8193" max="8193"/>
    <col width="17.36328125" customWidth="1" style="55" min="8194" max="8194"/>
    <col width="63.08984375" customWidth="1" style="55" min="8195" max="8195"/>
    <col width="8.6328125" customWidth="1" style="55" min="8196" max="8196"/>
    <col width="12.6328125" customWidth="1" style="55" min="8197" max="8197"/>
    <col width="14.6328125" customWidth="1" style="55" min="8198" max="8198"/>
    <col width="11.7265625" customWidth="1" style="55" min="8199" max="8199"/>
    <col width="9" customWidth="1" style="55" min="8200" max="8448"/>
    <col width="3.6328125" customWidth="1" style="55" min="8449" max="8449"/>
    <col width="17.36328125" customWidth="1" style="55" min="8450" max="8450"/>
    <col width="63.08984375" customWidth="1" style="55" min="8451" max="8451"/>
    <col width="8.6328125" customWidth="1" style="55" min="8452" max="8452"/>
    <col width="12.6328125" customWidth="1" style="55" min="8453" max="8453"/>
    <col width="14.6328125" customWidth="1" style="55" min="8454" max="8454"/>
    <col width="11.7265625" customWidth="1" style="55" min="8455" max="8455"/>
    <col width="9" customWidth="1" style="55" min="8456" max="8704"/>
    <col width="3.6328125" customWidth="1" style="55" min="8705" max="8705"/>
    <col width="17.36328125" customWidth="1" style="55" min="8706" max="8706"/>
    <col width="63.08984375" customWidth="1" style="55" min="8707" max="8707"/>
    <col width="8.6328125" customWidth="1" style="55" min="8708" max="8708"/>
    <col width="12.6328125" customWidth="1" style="55" min="8709" max="8709"/>
    <col width="14.6328125" customWidth="1" style="55" min="8710" max="8710"/>
    <col width="11.7265625" customWidth="1" style="55" min="8711" max="8711"/>
    <col width="9" customWidth="1" style="55" min="8712" max="8960"/>
    <col width="3.6328125" customWidth="1" style="55" min="8961" max="8961"/>
    <col width="17.36328125" customWidth="1" style="55" min="8962" max="8962"/>
    <col width="63.08984375" customWidth="1" style="55" min="8963" max="8963"/>
    <col width="8.6328125" customWidth="1" style="55" min="8964" max="8964"/>
    <col width="12.6328125" customWidth="1" style="55" min="8965" max="8965"/>
    <col width="14.6328125" customWidth="1" style="55" min="8966" max="8966"/>
    <col width="11.7265625" customWidth="1" style="55" min="8967" max="8967"/>
    <col width="9" customWidth="1" style="55" min="8968" max="9216"/>
    <col width="3.6328125" customWidth="1" style="55" min="9217" max="9217"/>
    <col width="17.36328125" customWidth="1" style="55" min="9218" max="9218"/>
    <col width="63.08984375" customWidth="1" style="55" min="9219" max="9219"/>
    <col width="8.6328125" customWidth="1" style="55" min="9220" max="9220"/>
    <col width="12.6328125" customWidth="1" style="55" min="9221" max="9221"/>
    <col width="14.6328125" customWidth="1" style="55" min="9222" max="9222"/>
    <col width="11.7265625" customWidth="1" style="55" min="9223" max="9223"/>
    <col width="9" customWidth="1" style="55" min="9224" max="9472"/>
    <col width="3.6328125" customWidth="1" style="55" min="9473" max="9473"/>
    <col width="17.36328125" customWidth="1" style="55" min="9474" max="9474"/>
    <col width="63.08984375" customWidth="1" style="55" min="9475" max="9475"/>
    <col width="8.6328125" customWidth="1" style="55" min="9476" max="9476"/>
    <col width="12.6328125" customWidth="1" style="55" min="9477" max="9477"/>
    <col width="14.6328125" customWidth="1" style="55" min="9478" max="9478"/>
    <col width="11.7265625" customWidth="1" style="55" min="9479" max="9479"/>
    <col width="9" customWidth="1" style="55" min="9480" max="9728"/>
    <col width="3.6328125" customWidth="1" style="55" min="9729" max="9729"/>
    <col width="17.36328125" customWidth="1" style="55" min="9730" max="9730"/>
    <col width="63.08984375" customWidth="1" style="55" min="9731" max="9731"/>
    <col width="8.6328125" customWidth="1" style="55" min="9732" max="9732"/>
    <col width="12.6328125" customWidth="1" style="55" min="9733" max="9733"/>
    <col width="14.6328125" customWidth="1" style="55" min="9734" max="9734"/>
    <col width="11.7265625" customWidth="1" style="55" min="9735" max="9735"/>
    <col width="9" customWidth="1" style="55" min="9736" max="9984"/>
    <col width="3.6328125" customWidth="1" style="55" min="9985" max="9985"/>
    <col width="17.36328125" customWidth="1" style="55" min="9986" max="9986"/>
    <col width="63.08984375" customWidth="1" style="55" min="9987" max="9987"/>
    <col width="8.6328125" customWidth="1" style="55" min="9988" max="9988"/>
    <col width="12.6328125" customWidth="1" style="55" min="9989" max="9989"/>
    <col width="14.6328125" customWidth="1" style="55" min="9990" max="9990"/>
    <col width="11.7265625" customWidth="1" style="55" min="9991" max="9991"/>
    <col width="9" customWidth="1" style="55" min="9992" max="10240"/>
    <col width="3.6328125" customWidth="1" style="55" min="10241" max="10241"/>
    <col width="17.36328125" customWidth="1" style="55" min="10242" max="10242"/>
    <col width="63.08984375" customWidth="1" style="55" min="10243" max="10243"/>
    <col width="8.6328125" customWidth="1" style="55" min="10244" max="10244"/>
    <col width="12.6328125" customWidth="1" style="55" min="10245" max="10245"/>
    <col width="14.6328125" customWidth="1" style="55" min="10246" max="10246"/>
    <col width="11.7265625" customWidth="1" style="55" min="10247" max="10247"/>
    <col width="9" customWidth="1" style="55" min="10248" max="10496"/>
    <col width="3.6328125" customWidth="1" style="55" min="10497" max="10497"/>
    <col width="17.36328125" customWidth="1" style="55" min="10498" max="10498"/>
    <col width="63.08984375" customWidth="1" style="55" min="10499" max="10499"/>
    <col width="8.6328125" customWidth="1" style="55" min="10500" max="10500"/>
    <col width="12.6328125" customWidth="1" style="55" min="10501" max="10501"/>
    <col width="14.6328125" customWidth="1" style="55" min="10502" max="10502"/>
    <col width="11.7265625" customWidth="1" style="55" min="10503" max="10503"/>
    <col width="9" customWidth="1" style="55" min="10504" max="10752"/>
    <col width="3.6328125" customWidth="1" style="55" min="10753" max="10753"/>
    <col width="17.36328125" customWidth="1" style="55" min="10754" max="10754"/>
    <col width="63.08984375" customWidth="1" style="55" min="10755" max="10755"/>
    <col width="8.6328125" customWidth="1" style="55" min="10756" max="10756"/>
    <col width="12.6328125" customWidth="1" style="55" min="10757" max="10757"/>
    <col width="14.6328125" customWidth="1" style="55" min="10758" max="10758"/>
    <col width="11.7265625" customWidth="1" style="55" min="10759" max="10759"/>
    <col width="9" customWidth="1" style="55" min="10760" max="11008"/>
    <col width="3.6328125" customWidth="1" style="55" min="11009" max="11009"/>
    <col width="17.36328125" customWidth="1" style="55" min="11010" max="11010"/>
    <col width="63.08984375" customWidth="1" style="55" min="11011" max="11011"/>
    <col width="8.6328125" customWidth="1" style="55" min="11012" max="11012"/>
    <col width="12.6328125" customWidth="1" style="55" min="11013" max="11013"/>
    <col width="14.6328125" customWidth="1" style="55" min="11014" max="11014"/>
    <col width="11.7265625" customWidth="1" style="55" min="11015" max="11015"/>
    <col width="9" customWidth="1" style="55" min="11016" max="11264"/>
    <col width="3.6328125" customWidth="1" style="55" min="11265" max="11265"/>
    <col width="17.36328125" customWidth="1" style="55" min="11266" max="11266"/>
    <col width="63.08984375" customWidth="1" style="55" min="11267" max="11267"/>
    <col width="8.6328125" customWidth="1" style="55" min="11268" max="11268"/>
    <col width="12.6328125" customWidth="1" style="55" min="11269" max="11269"/>
    <col width="14.6328125" customWidth="1" style="55" min="11270" max="11270"/>
    <col width="11.7265625" customWidth="1" style="55" min="11271" max="11271"/>
    <col width="9" customWidth="1" style="55" min="11272" max="11520"/>
    <col width="3.6328125" customWidth="1" style="55" min="11521" max="11521"/>
    <col width="17.36328125" customWidth="1" style="55" min="11522" max="11522"/>
    <col width="63.08984375" customWidth="1" style="55" min="11523" max="11523"/>
    <col width="8.6328125" customWidth="1" style="55" min="11524" max="11524"/>
    <col width="12.6328125" customWidth="1" style="55" min="11525" max="11525"/>
    <col width="14.6328125" customWidth="1" style="55" min="11526" max="11526"/>
    <col width="11.7265625" customWidth="1" style="55" min="11527" max="11527"/>
    <col width="9" customWidth="1" style="55" min="11528" max="11776"/>
    <col width="3.6328125" customWidth="1" style="55" min="11777" max="11777"/>
    <col width="17.36328125" customWidth="1" style="55" min="11778" max="11778"/>
    <col width="63.08984375" customWidth="1" style="55" min="11779" max="11779"/>
    <col width="8.6328125" customWidth="1" style="55" min="11780" max="11780"/>
    <col width="12.6328125" customWidth="1" style="55" min="11781" max="11781"/>
    <col width="14.6328125" customWidth="1" style="55" min="11782" max="11782"/>
    <col width="11.7265625" customWidth="1" style="55" min="11783" max="11783"/>
    <col width="9" customWidth="1" style="55" min="11784" max="12032"/>
    <col width="3.6328125" customWidth="1" style="55" min="12033" max="12033"/>
    <col width="17.36328125" customWidth="1" style="55" min="12034" max="12034"/>
    <col width="63.08984375" customWidth="1" style="55" min="12035" max="12035"/>
    <col width="8.6328125" customWidth="1" style="55" min="12036" max="12036"/>
    <col width="12.6328125" customWidth="1" style="55" min="12037" max="12037"/>
    <col width="14.6328125" customWidth="1" style="55" min="12038" max="12038"/>
    <col width="11.7265625" customWidth="1" style="55" min="12039" max="12039"/>
    <col width="9" customWidth="1" style="55" min="12040" max="12288"/>
    <col width="3.6328125" customWidth="1" style="55" min="12289" max="12289"/>
    <col width="17.36328125" customWidth="1" style="55" min="12290" max="12290"/>
    <col width="63.08984375" customWidth="1" style="55" min="12291" max="12291"/>
    <col width="8.6328125" customWidth="1" style="55" min="12292" max="12292"/>
    <col width="12.6328125" customWidth="1" style="55" min="12293" max="12293"/>
    <col width="14.6328125" customWidth="1" style="55" min="12294" max="12294"/>
    <col width="11.7265625" customWidth="1" style="55" min="12295" max="12295"/>
    <col width="9" customWidth="1" style="55" min="12296" max="12544"/>
    <col width="3.6328125" customWidth="1" style="55" min="12545" max="12545"/>
    <col width="17.36328125" customWidth="1" style="55" min="12546" max="12546"/>
    <col width="63.08984375" customWidth="1" style="55" min="12547" max="12547"/>
    <col width="8.6328125" customWidth="1" style="55" min="12548" max="12548"/>
    <col width="12.6328125" customWidth="1" style="55" min="12549" max="12549"/>
    <col width="14.6328125" customWidth="1" style="55" min="12550" max="12550"/>
    <col width="11.7265625" customWidth="1" style="55" min="12551" max="12551"/>
    <col width="9" customWidth="1" style="55" min="12552" max="12800"/>
    <col width="3.6328125" customWidth="1" style="55" min="12801" max="12801"/>
    <col width="17.36328125" customWidth="1" style="55" min="12802" max="12802"/>
    <col width="63.08984375" customWidth="1" style="55" min="12803" max="12803"/>
    <col width="8.6328125" customWidth="1" style="55" min="12804" max="12804"/>
    <col width="12.6328125" customWidth="1" style="55" min="12805" max="12805"/>
    <col width="14.6328125" customWidth="1" style="55" min="12806" max="12806"/>
    <col width="11.7265625" customWidth="1" style="55" min="12807" max="12807"/>
    <col width="9" customWidth="1" style="55" min="12808" max="13056"/>
    <col width="3.6328125" customWidth="1" style="55" min="13057" max="13057"/>
    <col width="17.36328125" customWidth="1" style="55" min="13058" max="13058"/>
    <col width="63.08984375" customWidth="1" style="55" min="13059" max="13059"/>
    <col width="8.6328125" customWidth="1" style="55" min="13060" max="13060"/>
    <col width="12.6328125" customWidth="1" style="55" min="13061" max="13061"/>
    <col width="14.6328125" customWidth="1" style="55" min="13062" max="13062"/>
    <col width="11.7265625" customWidth="1" style="55" min="13063" max="13063"/>
    <col width="9" customWidth="1" style="55" min="13064" max="13312"/>
    <col width="3.6328125" customWidth="1" style="55" min="13313" max="13313"/>
    <col width="17.36328125" customWidth="1" style="55" min="13314" max="13314"/>
    <col width="63.08984375" customWidth="1" style="55" min="13315" max="13315"/>
    <col width="8.6328125" customWidth="1" style="55" min="13316" max="13316"/>
    <col width="12.6328125" customWidth="1" style="55" min="13317" max="13317"/>
    <col width="14.6328125" customWidth="1" style="55" min="13318" max="13318"/>
    <col width="11.7265625" customWidth="1" style="55" min="13319" max="13319"/>
    <col width="9" customWidth="1" style="55" min="13320" max="13568"/>
    <col width="3.6328125" customWidth="1" style="55" min="13569" max="13569"/>
    <col width="17.36328125" customWidth="1" style="55" min="13570" max="13570"/>
    <col width="63.08984375" customWidth="1" style="55" min="13571" max="13571"/>
    <col width="8.6328125" customWidth="1" style="55" min="13572" max="13572"/>
    <col width="12.6328125" customWidth="1" style="55" min="13573" max="13573"/>
    <col width="14.6328125" customWidth="1" style="55" min="13574" max="13574"/>
    <col width="11.7265625" customWidth="1" style="55" min="13575" max="13575"/>
    <col width="9" customWidth="1" style="55" min="13576" max="13824"/>
    <col width="3.6328125" customWidth="1" style="55" min="13825" max="13825"/>
    <col width="17.36328125" customWidth="1" style="55" min="13826" max="13826"/>
    <col width="63.08984375" customWidth="1" style="55" min="13827" max="13827"/>
    <col width="8.6328125" customWidth="1" style="55" min="13828" max="13828"/>
    <col width="12.6328125" customWidth="1" style="55" min="13829" max="13829"/>
    <col width="14.6328125" customWidth="1" style="55" min="13830" max="13830"/>
    <col width="11.7265625" customWidth="1" style="55" min="13831" max="13831"/>
    <col width="9" customWidth="1" style="55" min="13832" max="14080"/>
    <col width="3.6328125" customWidth="1" style="55" min="14081" max="14081"/>
    <col width="17.36328125" customWidth="1" style="55" min="14082" max="14082"/>
    <col width="63.08984375" customWidth="1" style="55" min="14083" max="14083"/>
    <col width="8.6328125" customWidth="1" style="55" min="14084" max="14084"/>
    <col width="12.6328125" customWidth="1" style="55" min="14085" max="14085"/>
    <col width="14.6328125" customWidth="1" style="55" min="14086" max="14086"/>
    <col width="11.7265625" customWidth="1" style="55" min="14087" max="14087"/>
    <col width="9" customWidth="1" style="55" min="14088" max="14336"/>
    <col width="3.6328125" customWidth="1" style="55" min="14337" max="14337"/>
    <col width="17.36328125" customWidth="1" style="55" min="14338" max="14338"/>
    <col width="63.08984375" customWidth="1" style="55" min="14339" max="14339"/>
    <col width="8.6328125" customWidth="1" style="55" min="14340" max="14340"/>
    <col width="12.6328125" customWidth="1" style="55" min="14341" max="14341"/>
    <col width="14.6328125" customWidth="1" style="55" min="14342" max="14342"/>
    <col width="11.7265625" customWidth="1" style="55" min="14343" max="14343"/>
    <col width="9" customWidth="1" style="55" min="14344" max="14592"/>
    <col width="3.6328125" customWidth="1" style="55" min="14593" max="14593"/>
    <col width="17.36328125" customWidth="1" style="55" min="14594" max="14594"/>
    <col width="63.08984375" customWidth="1" style="55" min="14595" max="14595"/>
    <col width="8.6328125" customWidth="1" style="55" min="14596" max="14596"/>
    <col width="12.6328125" customWidth="1" style="55" min="14597" max="14597"/>
    <col width="14.6328125" customWidth="1" style="55" min="14598" max="14598"/>
    <col width="11.7265625" customWidth="1" style="55" min="14599" max="14599"/>
    <col width="9" customWidth="1" style="55" min="14600" max="14848"/>
    <col width="3.6328125" customWidth="1" style="55" min="14849" max="14849"/>
    <col width="17.36328125" customWidth="1" style="55" min="14850" max="14850"/>
    <col width="63.08984375" customWidth="1" style="55" min="14851" max="14851"/>
    <col width="8.6328125" customWidth="1" style="55" min="14852" max="14852"/>
    <col width="12.6328125" customWidth="1" style="55" min="14853" max="14853"/>
    <col width="14.6328125" customWidth="1" style="55" min="14854" max="14854"/>
    <col width="11.7265625" customWidth="1" style="55" min="14855" max="14855"/>
    <col width="9" customWidth="1" style="55" min="14856" max="15104"/>
    <col width="3.6328125" customWidth="1" style="55" min="15105" max="15105"/>
    <col width="17.36328125" customWidth="1" style="55" min="15106" max="15106"/>
    <col width="63.08984375" customWidth="1" style="55" min="15107" max="15107"/>
    <col width="8.6328125" customWidth="1" style="55" min="15108" max="15108"/>
    <col width="12.6328125" customWidth="1" style="55" min="15109" max="15109"/>
    <col width="14.6328125" customWidth="1" style="55" min="15110" max="15110"/>
    <col width="11.7265625" customWidth="1" style="55" min="15111" max="15111"/>
    <col width="9" customWidth="1" style="55" min="15112" max="15360"/>
    <col width="3.6328125" customWidth="1" style="55" min="15361" max="15361"/>
    <col width="17.36328125" customWidth="1" style="55" min="15362" max="15362"/>
    <col width="63.08984375" customWidth="1" style="55" min="15363" max="15363"/>
    <col width="8.6328125" customWidth="1" style="55" min="15364" max="15364"/>
    <col width="12.6328125" customWidth="1" style="55" min="15365" max="15365"/>
    <col width="14.6328125" customWidth="1" style="55" min="15366" max="15366"/>
    <col width="11.7265625" customWidth="1" style="55" min="15367" max="15367"/>
    <col width="9" customWidth="1" style="55" min="15368" max="15616"/>
    <col width="3.6328125" customWidth="1" style="55" min="15617" max="15617"/>
    <col width="17.36328125" customWidth="1" style="55" min="15618" max="15618"/>
    <col width="63.08984375" customWidth="1" style="55" min="15619" max="15619"/>
    <col width="8.6328125" customWidth="1" style="55" min="15620" max="15620"/>
    <col width="12.6328125" customWidth="1" style="55" min="15621" max="15621"/>
    <col width="14.6328125" customWidth="1" style="55" min="15622" max="15622"/>
    <col width="11.7265625" customWidth="1" style="55" min="15623" max="15623"/>
    <col width="9" customWidth="1" style="55" min="15624" max="15872"/>
    <col width="3.6328125" customWidth="1" style="55" min="15873" max="15873"/>
    <col width="17.36328125" customWidth="1" style="55" min="15874" max="15874"/>
    <col width="63.08984375" customWidth="1" style="55" min="15875" max="15875"/>
    <col width="8.6328125" customWidth="1" style="55" min="15876" max="15876"/>
    <col width="12.6328125" customWidth="1" style="55" min="15877" max="15877"/>
    <col width="14.6328125" customWidth="1" style="55" min="15878" max="15878"/>
    <col width="11.7265625" customWidth="1" style="55" min="15879" max="15879"/>
    <col width="9" customWidth="1" style="55" min="15880" max="16128"/>
    <col width="3.6328125" customWidth="1" style="55" min="16129" max="16129"/>
    <col width="17.36328125" customWidth="1" style="55" min="16130" max="16130"/>
    <col width="63.08984375" customWidth="1" style="55" min="16131" max="16131"/>
    <col width="8.6328125" customWidth="1" style="55" min="16132" max="16132"/>
    <col width="12.6328125" customWidth="1" style="55" min="16133" max="16133"/>
    <col width="14.6328125" customWidth="1" style="55" min="16134" max="16134"/>
    <col width="11.7265625" customWidth="1" style="55" min="16135" max="16135"/>
    <col width="9" customWidth="1" style="55" min="16136" max="16384"/>
  </cols>
  <sheetData>
    <row r="1" ht="25" customHeight="1">
      <c r="A1" s="171" t="inlineStr">
        <is>
          <t>COMART CORPORATION</t>
        </is>
      </c>
      <c r="G1" s="31" t="n"/>
      <c r="H1" s="3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</row>
    <row r="2" ht="17" customHeight="1">
      <c r="A2" s="116" t="inlineStr">
        <is>
          <t>TEL:+886-2-89111133   FAX:+886-2-86653056</t>
        </is>
      </c>
      <c r="G2" s="31" t="n"/>
      <c r="H2" s="3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</row>
    <row r="3" ht="17" customHeight="1">
      <c r="A3" s="116" t="inlineStr">
        <is>
          <t>3F., No.12, Lane 235, Baociao Rd., Sindian Dist, New Taipei City 23145, Taiwan, R.O.C.</t>
        </is>
      </c>
      <c r="G3" s="31" t="n"/>
      <c r="H3" s="3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n"/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</row>
    <row r="4" ht="15" customHeight="1">
      <c r="A4" s="117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</row>
    <row r="5" ht="22.5" customHeight="1">
      <c r="A5" s="118" t="inlineStr">
        <is>
          <t xml:space="preserve"> INVOICE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</row>
    <row r="7">
      <c r="A7" s="1" t="inlineStr">
        <is>
          <t>CONSIGNEE: SCOSCHE INDUSTRIES, INC. ALABAMA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</row>
    <row r="8">
      <c r="A8" s="1" t="inlineStr">
        <is>
          <t>SHIP TO: 188 COMMERCE WAY, SPRUCE PINE, AL 35585-4138 , USA</t>
        </is>
      </c>
      <c r="B8" s="1" t="n"/>
      <c r="C8" s="1" t="n"/>
      <c r="D8" s="1" t="inlineStr">
        <is>
          <t xml:space="preserve">INV: 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</row>
    <row r="9">
      <c r="A9" s="1" t="inlineStr">
        <is>
          <t>ATTN: CAMILLE LUNA</t>
        </is>
      </c>
      <c r="B9" s="59" t="n"/>
      <c r="C9" s="59" t="n"/>
      <c r="D9" s="1" t="inlineStr">
        <is>
          <t>PO: 153555,153227,154002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</row>
    <row r="10">
      <c r="A10" s="1" t="inlineStr">
        <is>
          <t>TEL: 805-486-4450 EXT. 193 FAX: 805 486 9996</t>
        </is>
      </c>
      <c r="B10" s="59" t="n"/>
      <c r="C10" s="59" t="n"/>
      <c r="D10" s="1" t="inlineStr">
        <is>
          <t>PRINT AT: 21 DEC 2021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HV10" s="1" t="n"/>
      <c r="HW10" s="1" t="n"/>
      <c r="HX10" s="1" t="n"/>
      <c r="HY10" s="1" t="n"/>
      <c r="HZ10" s="1" t="n"/>
      <c r="IA10" s="1" t="n"/>
      <c r="IB10" s="1" t="n"/>
      <c r="IC10" s="1" t="n"/>
      <c r="ID10" s="1" t="n"/>
      <c r="IE10" s="1" t="n"/>
      <c r="IF10" s="1" t="n"/>
      <c r="IG10" s="1" t="n"/>
      <c r="IH10" s="1" t="n"/>
      <c r="II10" s="1" t="n"/>
      <c r="IJ10" s="1" t="n"/>
      <c r="IK10" s="1" t="n"/>
      <c r="IL10" s="1" t="n"/>
      <c r="IM10" s="1" t="n"/>
      <c r="IN10" s="1" t="n"/>
      <c r="IO10" s="1" t="n"/>
      <c r="IP10" s="1" t="n"/>
      <c r="IQ10" s="1" t="n"/>
      <c r="IR10" s="1" t="n"/>
      <c r="IS10" s="1" t="n"/>
      <c r="IT10" s="1" t="n"/>
      <c r="IU10" s="1" t="n"/>
      <c r="IV10" s="1" t="n"/>
    </row>
    <row r="11" ht="14.5" customHeight="1" thickBot="1">
      <c r="A11" s="1" t="inlineStr">
        <is>
          <t>PAYMENT TERM: T/T NET ETD 75DAYS</t>
        </is>
      </c>
      <c r="B11" s="1" t="n"/>
      <c r="C11" s="1" t="n"/>
      <c r="D11" s="1" t="inlineStr">
        <is>
          <t>CURRENCY: USD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</row>
    <row r="12" ht="15.5" customHeight="1" thickTop="1">
      <c r="A12" s="60" t="inlineStr">
        <is>
          <t>No</t>
        </is>
      </c>
      <c r="B12" s="61" t="inlineStr">
        <is>
          <t>Item No</t>
        </is>
      </c>
      <c r="C12" s="61" t="inlineStr">
        <is>
          <t>Item Description</t>
        </is>
      </c>
      <c r="D12" s="61" t="inlineStr">
        <is>
          <t>Q'ty</t>
        </is>
      </c>
      <c r="E12" s="61" t="inlineStr">
        <is>
          <t>Price</t>
        </is>
      </c>
      <c r="F12" s="62" t="inlineStr">
        <is>
          <t>Amount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  <c r="ED12" s="1" t="n"/>
      <c r="EE12" s="1" t="n"/>
      <c r="EF12" s="1" t="n"/>
      <c r="EG12" s="1" t="n"/>
      <c r="EH12" s="1" t="n"/>
      <c r="EI12" s="1" t="n"/>
      <c r="EJ12" s="1" t="n"/>
      <c r="EK12" s="1" t="n"/>
      <c r="EL12" s="1" t="n"/>
      <c r="EM12" s="1" t="n"/>
      <c r="EN12" s="1" t="n"/>
      <c r="EO12" s="1" t="n"/>
      <c r="EP12" s="1" t="n"/>
      <c r="EQ12" s="1" t="n"/>
      <c r="ER12" s="1" t="n"/>
      <c r="ES12" s="1" t="n"/>
      <c r="ET12" s="1" t="n"/>
      <c r="EU12" s="1" t="n"/>
      <c r="EV12" s="1" t="n"/>
      <c r="EW12" s="1" t="n"/>
      <c r="EX12" s="1" t="n"/>
      <c r="EY12" s="1" t="n"/>
      <c r="EZ12" s="1" t="n"/>
      <c r="FA12" s="1" t="n"/>
      <c r="FB12" s="1" t="n"/>
      <c r="FC12" s="1" t="n"/>
      <c r="FD12" s="1" t="n"/>
      <c r="FE12" s="1" t="n"/>
      <c r="FF12" s="1" t="n"/>
      <c r="FG12" s="1" t="n"/>
      <c r="FH12" s="1" t="n"/>
      <c r="FI12" s="1" t="n"/>
      <c r="FJ12" s="1" t="n"/>
      <c r="FK12" s="1" t="n"/>
      <c r="FL12" s="1" t="n"/>
      <c r="FM12" s="1" t="n"/>
      <c r="FN12" s="1" t="n"/>
      <c r="FO12" s="1" t="n"/>
      <c r="FP12" s="1" t="n"/>
      <c r="FQ12" s="1" t="n"/>
      <c r="FR12" s="1" t="n"/>
      <c r="FS12" s="1" t="n"/>
      <c r="FT12" s="1" t="n"/>
      <c r="FU12" s="1" t="n"/>
      <c r="FV12" s="1" t="n"/>
      <c r="FW12" s="1" t="n"/>
      <c r="FX12" s="1" t="n"/>
      <c r="FY12" s="1" t="n"/>
      <c r="FZ12" s="1" t="n"/>
      <c r="GA12" s="1" t="n"/>
      <c r="GB12" s="1" t="n"/>
      <c r="GC12" s="1" t="n"/>
      <c r="GD12" s="1" t="n"/>
      <c r="GE12" s="1" t="n"/>
      <c r="GF12" s="1" t="n"/>
      <c r="GG12" s="1" t="n"/>
      <c r="GH12" s="1" t="n"/>
      <c r="GI12" s="1" t="n"/>
      <c r="GJ12" s="1" t="n"/>
      <c r="GK12" s="1" t="n"/>
      <c r="GL12" s="1" t="n"/>
      <c r="GM12" s="1" t="n"/>
      <c r="GN12" s="1" t="n"/>
      <c r="GO12" s="1" t="n"/>
      <c r="GP12" s="1" t="n"/>
      <c r="GQ12" s="1" t="n"/>
      <c r="GR12" s="1" t="n"/>
      <c r="GS12" s="1" t="n"/>
      <c r="GT12" s="1" t="n"/>
      <c r="GU12" s="1" t="n"/>
      <c r="GV12" s="1" t="n"/>
      <c r="GW12" s="1" t="n"/>
      <c r="GX12" s="1" t="n"/>
      <c r="GY12" s="1" t="n"/>
      <c r="GZ12" s="1" t="n"/>
      <c r="HA12" s="1" t="n"/>
      <c r="HB12" s="1" t="n"/>
      <c r="HC12" s="1" t="n"/>
      <c r="HD12" s="1" t="n"/>
      <c r="HE12" s="1" t="n"/>
      <c r="HF12" s="1" t="n"/>
      <c r="HG12" s="1" t="n"/>
      <c r="HH12" s="1" t="n"/>
      <c r="HI12" s="1" t="n"/>
      <c r="HJ12" s="1" t="n"/>
      <c r="HK12" s="1" t="n"/>
      <c r="HL12" s="1" t="n"/>
      <c r="HM12" s="1" t="n"/>
      <c r="HN12" s="1" t="n"/>
      <c r="HO12" s="1" t="n"/>
      <c r="HP12" s="1" t="n"/>
      <c r="HQ12" s="1" t="n"/>
      <c r="HR12" s="1" t="n"/>
      <c r="HS12" s="1" t="n"/>
      <c r="HT12" s="1" t="n"/>
      <c r="HU12" s="1" t="n"/>
      <c r="HV12" s="1" t="n"/>
      <c r="HW12" s="1" t="n"/>
      <c r="HX12" s="1" t="n"/>
      <c r="HY12" s="1" t="n"/>
      <c r="HZ12" s="1" t="n"/>
      <c r="IA12" s="1" t="n"/>
      <c r="IB12" s="1" t="n"/>
      <c r="IC12" s="1" t="n"/>
      <c r="ID12" s="1" t="n"/>
      <c r="IE12" s="1" t="n"/>
      <c r="IF12" s="1" t="n"/>
      <c r="IG12" s="1" t="n"/>
      <c r="IH12" s="1" t="n"/>
      <c r="II12" s="1" t="n"/>
      <c r="IJ12" s="1" t="n"/>
      <c r="IK12" s="1" t="n"/>
      <c r="IL12" s="1" t="n"/>
      <c r="IM12" s="1" t="n"/>
      <c r="IN12" s="1" t="n"/>
      <c r="IO12" s="1" t="n"/>
      <c r="IP12" s="1" t="n"/>
      <c r="IQ12" s="1" t="n"/>
      <c r="IR12" s="1" t="n"/>
      <c r="IS12" s="1" t="n"/>
      <c r="IT12" s="1" t="n"/>
      <c r="IU12" s="1" t="n"/>
      <c r="IV12" s="1" t="n"/>
    </row>
    <row r="13" ht="34.5" customHeight="1">
      <c r="A13" s="14" t="n">
        <v>1</v>
      </c>
      <c r="B13" s="82" t="inlineStr">
        <is>
          <t>8SHB130162</t>
        </is>
      </c>
      <c r="C13" s="83" t="inlineStr">
        <is>
          <t>0266MAGWSM2; MAG WIND SM MOUNT</t>
        </is>
      </c>
      <c r="D13" s="172" t="n">
        <v>10000</v>
      </c>
      <c r="E13" s="173" t="n">
        <v>3.469</v>
      </c>
      <c r="F13" s="174">
        <f>E13*D13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HV13" s="1" t="n"/>
      <c r="HW13" s="1" t="n"/>
      <c r="HX13" s="1" t="n"/>
      <c r="HY13" s="1" t="n"/>
      <c r="HZ13" s="1" t="n"/>
      <c r="IA13" s="1" t="n"/>
      <c r="IB13" s="1" t="n"/>
      <c r="IC13" s="1" t="n"/>
      <c r="ID13" s="1" t="n"/>
      <c r="IE13" s="1" t="n"/>
      <c r="IF13" s="1" t="n"/>
      <c r="IG13" s="1" t="n"/>
      <c r="IH13" s="1" t="n"/>
      <c r="II13" s="1" t="n"/>
      <c r="IJ13" s="1" t="n"/>
      <c r="IK13" s="1" t="n"/>
      <c r="IL13" s="1" t="n"/>
      <c r="IM13" s="1" t="n"/>
      <c r="IN13" s="1" t="n"/>
      <c r="IO13" s="1" t="n"/>
      <c r="IP13" s="1" t="n"/>
      <c r="IQ13" s="1" t="n"/>
      <c r="IR13" s="1" t="n"/>
      <c r="IS13" s="1" t="n"/>
      <c r="IT13" s="1" t="n"/>
      <c r="IU13" s="1" t="n"/>
      <c r="IV13" s="1" t="n"/>
    </row>
    <row r="14" ht="34.5" customHeight="1">
      <c r="A14" s="14" t="n">
        <v>2</v>
      </c>
      <c r="B14" s="82" t="inlineStr">
        <is>
          <t>8SHB130161</t>
        </is>
      </c>
      <c r="C14" s="83" t="inlineStr">
        <is>
          <t>0266MAGWSM-SP1; MM WNDW SUCTN MNT</t>
        </is>
      </c>
      <c r="D14" s="172" t="n">
        <v>36000</v>
      </c>
      <c r="E14" s="173" t="n">
        <v>2.722</v>
      </c>
      <c r="F14" s="174">
        <f>E14*D14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</row>
    <row r="15" ht="34.5" customHeight="1">
      <c r="A15" s="14" t="n">
        <v>3</v>
      </c>
      <c r="B15" s="82" t="inlineStr">
        <is>
          <t>8SHB060027</t>
        </is>
      </c>
      <c r="C15" s="83" t="inlineStr">
        <is>
          <t xml:space="preserve">0266IHW10PD; 4 IN 1 UNI MNT KIT </t>
        </is>
      </c>
      <c r="D15" s="172" t="n">
        <v>6000</v>
      </c>
      <c r="E15" s="173" t="n">
        <v>3.96</v>
      </c>
      <c r="F15" s="174">
        <f>E15*D15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</row>
    <row r="16" ht="15.5" customHeight="1">
      <c r="A16" s="1" t="n"/>
      <c r="B16" s="39" t="n"/>
      <c r="C16" s="64" t="n"/>
      <c r="D16" s="64" t="n"/>
      <c r="E16" s="64" t="n"/>
      <c r="F16" s="6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  <c r="EG16" s="1" t="n"/>
      <c r="EH16" s="1" t="n"/>
      <c r="EI16" s="1" t="n"/>
      <c r="EJ16" s="1" t="n"/>
      <c r="EK16" s="1" t="n"/>
      <c r="EL16" s="1" t="n"/>
      <c r="EM16" s="1" t="n"/>
      <c r="EN16" s="1" t="n"/>
      <c r="EO16" s="1" t="n"/>
      <c r="EP16" s="1" t="n"/>
      <c r="EQ16" s="1" t="n"/>
      <c r="ER16" s="1" t="n"/>
      <c r="ES16" s="1" t="n"/>
      <c r="ET16" s="1" t="n"/>
      <c r="EU16" s="1" t="n"/>
      <c r="EV16" s="1" t="n"/>
      <c r="EW16" s="1" t="n"/>
      <c r="EX16" s="1" t="n"/>
      <c r="EY16" s="1" t="n"/>
      <c r="EZ16" s="1" t="n"/>
      <c r="FA16" s="1" t="n"/>
      <c r="FB16" s="1" t="n"/>
      <c r="FC16" s="1" t="n"/>
      <c r="FD16" s="1" t="n"/>
      <c r="FE16" s="1" t="n"/>
      <c r="FF16" s="1" t="n"/>
      <c r="FG16" s="1" t="n"/>
      <c r="FH16" s="1" t="n"/>
      <c r="FI16" s="1" t="n"/>
      <c r="FJ16" s="1" t="n"/>
      <c r="FK16" s="1" t="n"/>
      <c r="FL16" s="1" t="n"/>
      <c r="FM16" s="1" t="n"/>
      <c r="FN16" s="1" t="n"/>
      <c r="FO16" s="1" t="n"/>
      <c r="FP16" s="1" t="n"/>
      <c r="FQ16" s="1" t="n"/>
      <c r="FR16" s="1" t="n"/>
      <c r="FS16" s="1" t="n"/>
      <c r="FT16" s="1" t="n"/>
      <c r="FU16" s="1" t="n"/>
      <c r="FV16" s="1" t="n"/>
      <c r="FW16" s="1" t="n"/>
      <c r="FX16" s="1" t="n"/>
      <c r="FY16" s="1" t="n"/>
      <c r="FZ16" s="1" t="n"/>
      <c r="GA16" s="1" t="n"/>
      <c r="GB16" s="1" t="n"/>
      <c r="GC16" s="1" t="n"/>
      <c r="GD16" s="1" t="n"/>
      <c r="GE16" s="1" t="n"/>
      <c r="GF16" s="1" t="n"/>
      <c r="GG16" s="1" t="n"/>
      <c r="GH16" s="1" t="n"/>
      <c r="GI16" s="1" t="n"/>
      <c r="GJ16" s="1" t="n"/>
      <c r="GK16" s="1" t="n"/>
      <c r="GL16" s="1" t="n"/>
      <c r="GM16" s="1" t="n"/>
      <c r="GN16" s="1" t="n"/>
      <c r="GO16" s="1" t="n"/>
      <c r="GP16" s="1" t="n"/>
      <c r="GQ16" s="1" t="n"/>
      <c r="GR16" s="1" t="n"/>
      <c r="GS16" s="1" t="n"/>
      <c r="GT16" s="1" t="n"/>
      <c r="GU16" s="1" t="n"/>
      <c r="GV16" s="1" t="n"/>
      <c r="GW16" s="1" t="n"/>
      <c r="GX16" s="1" t="n"/>
      <c r="GY16" s="1" t="n"/>
      <c r="GZ16" s="1" t="n"/>
      <c r="HA16" s="1" t="n"/>
      <c r="HB16" s="1" t="n"/>
      <c r="HC16" s="1" t="n"/>
      <c r="HD16" s="1" t="n"/>
      <c r="HE16" s="1" t="n"/>
      <c r="HF16" s="1" t="n"/>
      <c r="HG16" s="1" t="n"/>
      <c r="HH16" s="1" t="n"/>
      <c r="HI16" s="1" t="n"/>
      <c r="HJ16" s="1" t="n"/>
      <c r="HK16" s="1" t="n"/>
      <c r="HL16" s="1" t="n"/>
      <c r="HM16" s="1" t="n"/>
      <c r="HN16" s="1" t="n"/>
      <c r="HO16" s="1" t="n"/>
      <c r="HP16" s="1" t="n"/>
      <c r="HQ16" s="1" t="n"/>
      <c r="HR16" s="1" t="n"/>
      <c r="HS16" s="1" t="n"/>
      <c r="HT16" s="1" t="n"/>
      <c r="HU16" s="1" t="n"/>
      <c r="HV16" s="1" t="n"/>
      <c r="HW16" s="1" t="n"/>
      <c r="HX16" s="1" t="n"/>
      <c r="HY16" s="1" t="n"/>
      <c r="HZ16" s="1" t="n"/>
      <c r="IA16" s="1" t="n"/>
      <c r="IB16" s="1" t="n"/>
      <c r="IC16" s="1" t="n"/>
      <c r="ID16" s="1" t="n"/>
      <c r="IE16" s="1" t="n"/>
      <c r="IF16" s="1" t="n"/>
      <c r="IG16" s="1" t="n"/>
      <c r="IH16" s="1" t="n"/>
      <c r="II16" s="1" t="n"/>
      <c r="IJ16" s="1" t="n"/>
      <c r="IK16" s="1" t="n"/>
      <c r="IL16" s="1" t="n"/>
      <c r="IM16" s="1" t="n"/>
      <c r="IN16" s="1" t="n"/>
      <c r="IO16" s="1" t="n"/>
      <c r="IP16" s="1" t="n"/>
      <c r="IQ16" s="1" t="n"/>
      <c r="IR16" s="1" t="n"/>
      <c r="IS16" s="1" t="n"/>
      <c r="IT16" s="1" t="n"/>
      <c r="IU16" s="1" t="n"/>
      <c r="IV16" s="1" t="n"/>
    </row>
    <row r="17" ht="15.5" customHeight="1">
      <c r="A17" s="1" t="n"/>
      <c r="B17" s="39" t="n"/>
      <c r="C17" s="64" t="n"/>
      <c r="D17" s="64" t="n"/>
      <c r="E17" s="64" t="n"/>
      <c r="F17" s="6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  <c r="EI17" s="1" t="n"/>
      <c r="EJ17" s="1" t="n"/>
      <c r="EK17" s="1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  <c r="FD17" s="1" t="n"/>
      <c r="FE17" s="1" t="n"/>
      <c r="FF17" s="1" t="n"/>
      <c r="FG17" s="1" t="n"/>
      <c r="FH17" s="1" t="n"/>
      <c r="FI17" s="1" t="n"/>
      <c r="FJ17" s="1" t="n"/>
      <c r="FK17" s="1" t="n"/>
      <c r="FL17" s="1" t="n"/>
      <c r="FM17" s="1" t="n"/>
      <c r="FN17" s="1" t="n"/>
      <c r="FO17" s="1" t="n"/>
      <c r="FP17" s="1" t="n"/>
      <c r="FQ17" s="1" t="n"/>
      <c r="FR17" s="1" t="n"/>
      <c r="FS17" s="1" t="n"/>
      <c r="FT17" s="1" t="n"/>
      <c r="FU17" s="1" t="n"/>
      <c r="FV17" s="1" t="n"/>
      <c r="FW17" s="1" t="n"/>
      <c r="FX17" s="1" t="n"/>
      <c r="FY17" s="1" t="n"/>
      <c r="FZ17" s="1" t="n"/>
      <c r="GA17" s="1" t="n"/>
      <c r="GB17" s="1" t="n"/>
      <c r="GC17" s="1" t="n"/>
      <c r="GD17" s="1" t="n"/>
      <c r="GE17" s="1" t="n"/>
      <c r="GF17" s="1" t="n"/>
      <c r="GG17" s="1" t="n"/>
      <c r="GH17" s="1" t="n"/>
      <c r="GI17" s="1" t="n"/>
      <c r="GJ17" s="1" t="n"/>
      <c r="GK17" s="1" t="n"/>
      <c r="GL17" s="1" t="n"/>
      <c r="GM17" s="1" t="n"/>
      <c r="GN17" s="1" t="n"/>
      <c r="GO17" s="1" t="n"/>
      <c r="GP17" s="1" t="n"/>
      <c r="GQ17" s="1" t="n"/>
      <c r="GR17" s="1" t="n"/>
      <c r="GS17" s="1" t="n"/>
      <c r="GT17" s="1" t="n"/>
      <c r="GU17" s="1" t="n"/>
      <c r="GV17" s="1" t="n"/>
      <c r="GW17" s="1" t="n"/>
      <c r="GX17" s="1" t="n"/>
      <c r="GY17" s="1" t="n"/>
      <c r="GZ17" s="1" t="n"/>
      <c r="HA17" s="1" t="n"/>
      <c r="HB17" s="1" t="n"/>
      <c r="HC17" s="1" t="n"/>
      <c r="HD17" s="1" t="n"/>
      <c r="HE17" s="1" t="n"/>
      <c r="HF17" s="1" t="n"/>
      <c r="HG17" s="1" t="n"/>
      <c r="HH17" s="1" t="n"/>
      <c r="HI17" s="1" t="n"/>
      <c r="HJ17" s="1" t="n"/>
      <c r="HK17" s="1" t="n"/>
      <c r="HL17" s="1" t="n"/>
      <c r="HM17" s="1" t="n"/>
      <c r="HN17" s="1" t="n"/>
      <c r="HO17" s="1" t="n"/>
      <c r="HP17" s="1" t="n"/>
      <c r="HQ17" s="1" t="n"/>
      <c r="HR17" s="1" t="n"/>
      <c r="HS17" s="1" t="n"/>
      <c r="HT17" s="1" t="n"/>
      <c r="HU17" s="1" t="n"/>
      <c r="HV17" s="1" t="n"/>
      <c r="HW17" s="1" t="n"/>
      <c r="HX17" s="1" t="n"/>
      <c r="HY17" s="1" t="n"/>
      <c r="HZ17" s="1" t="n"/>
      <c r="IA17" s="1" t="n"/>
      <c r="IB17" s="1" t="n"/>
      <c r="IC17" s="1" t="n"/>
      <c r="ID17" s="1" t="n"/>
      <c r="IE17" s="1" t="n"/>
      <c r="IF17" s="1" t="n"/>
      <c r="IG17" s="1" t="n"/>
      <c r="IH17" s="1" t="n"/>
      <c r="II17" s="1" t="n"/>
      <c r="IJ17" s="1" t="n"/>
      <c r="IK17" s="1" t="n"/>
      <c r="IL17" s="1" t="n"/>
      <c r="IM17" s="1" t="n"/>
      <c r="IN17" s="1" t="n"/>
      <c r="IO17" s="1" t="n"/>
      <c r="IP17" s="1" t="n"/>
      <c r="IQ17" s="1" t="n"/>
      <c r="IR17" s="1" t="n"/>
      <c r="IS17" s="1" t="n"/>
      <c r="IT17" s="1" t="n"/>
      <c r="IU17" s="1" t="n"/>
      <c r="IV17" s="1" t="n"/>
    </row>
    <row r="18" ht="15.5" customHeight="1">
      <c r="A18" s="1" t="n"/>
      <c r="B18" s="39" t="n"/>
      <c r="C18" s="64" t="n"/>
      <c r="D18" s="64" t="n"/>
      <c r="E18" s="64" t="n"/>
      <c r="F18" s="6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  <c r="EI18" s="1" t="n"/>
      <c r="EJ18" s="1" t="n"/>
      <c r="EK18" s="1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  <c r="FD18" s="1" t="n"/>
      <c r="FE18" s="1" t="n"/>
      <c r="FF18" s="1" t="n"/>
      <c r="FG18" s="1" t="n"/>
      <c r="FH18" s="1" t="n"/>
      <c r="FI18" s="1" t="n"/>
      <c r="FJ18" s="1" t="n"/>
      <c r="FK18" s="1" t="n"/>
      <c r="FL18" s="1" t="n"/>
      <c r="FM18" s="1" t="n"/>
      <c r="FN18" s="1" t="n"/>
      <c r="FO18" s="1" t="n"/>
      <c r="FP18" s="1" t="n"/>
      <c r="FQ18" s="1" t="n"/>
      <c r="FR18" s="1" t="n"/>
      <c r="FS18" s="1" t="n"/>
      <c r="FT18" s="1" t="n"/>
      <c r="FU18" s="1" t="n"/>
      <c r="FV18" s="1" t="n"/>
      <c r="FW18" s="1" t="n"/>
      <c r="FX18" s="1" t="n"/>
      <c r="FY18" s="1" t="n"/>
      <c r="FZ18" s="1" t="n"/>
      <c r="GA18" s="1" t="n"/>
      <c r="GB18" s="1" t="n"/>
      <c r="GC18" s="1" t="n"/>
      <c r="GD18" s="1" t="n"/>
      <c r="GE18" s="1" t="n"/>
      <c r="GF18" s="1" t="n"/>
      <c r="GG18" s="1" t="n"/>
      <c r="GH18" s="1" t="n"/>
      <c r="GI18" s="1" t="n"/>
      <c r="GJ18" s="1" t="n"/>
      <c r="GK18" s="1" t="n"/>
      <c r="GL18" s="1" t="n"/>
      <c r="GM18" s="1" t="n"/>
      <c r="GN18" s="1" t="n"/>
      <c r="GO18" s="1" t="n"/>
      <c r="GP18" s="1" t="n"/>
      <c r="GQ18" s="1" t="n"/>
      <c r="GR18" s="1" t="n"/>
      <c r="GS18" s="1" t="n"/>
      <c r="GT18" s="1" t="n"/>
      <c r="GU18" s="1" t="n"/>
      <c r="GV18" s="1" t="n"/>
      <c r="GW18" s="1" t="n"/>
      <c r="GX18" s="1" t="n"/>
      <c r="GY18" s="1" t="n"/>
      <c r="GZ18" s="1" t="n"/>
      <c r="HA18" s="1" t="n"/>
      <c r="HB18" s="1" t="n"/>
      <c r="HC18" s="1" t="n"/>
      <c r="HD18" s="1" t="n"/>
      <c r="HE18" s="1" t="n"/>
      <c r="HF18" s="1" t="n"/>
      <c r="HG18" s="1" t="n"/>
      <c r="HH18" s="1" t="n"/>
      <c r="HI18" s="1" t="n"/>
      <c r="HJ18" s="1" t="n"/>
      <c r="HK18" s="1" t="n"/>
      <c r="HL18" s="1" t="n"/>
      <c r="HM18" s="1" t="n"/>
      <c r="HN18" s="1" t="n"/>
      <c r="HO18" s="1" t="n"/>
      <c r="HP18" s="1" t="n"/>
      <c r="HQ18" s="1" t="n"/>
      <c r="HR18" s="1" t="n"/>
      <c r="HS18" s="1" t="n"/>
      <c r="HT18" s="1" t="n"/>
      <c r="HU18" s="1" t="n"/>
      <c r="HV18" s="1" t="n"/>
      <c r="HW18" s="1" t="n"/>
      <c r="HX18" s="1" t="n"/>
      <c r="HY18" s="1" t="n"/>
      <c r="HZ18" s="1" t="n"/>
      <c r="IA18" s="1" t="n"/>
      <c r="IB18" s="1" t="n"/>
      <c r="IC18" s="1" t="n"/>
      <c r="ID18" s="1" t="n"/>
      <c r="IE18" s="1" t="n"/>
      <c r="IF18" s="1" t="n"/>
      <c r="IG18" s="1" t="n"/>
      <c r="IH18" s="1" t="n"/>
      <c r="II18" s="1" t="n"/>
      <c r="IJ18" s="1" t="n"/>
      <c r="IK18" s="1" t="n"/>
      <c r="IL18" s="1" t="n"/>
      <c r="IM18" s="1" t="n"/>
      <c r="IN18" s="1" t="n"/>
      <c r="IO18" s="1" t="n"/>
      <c r="IP18" s="1" t="n"/>
      <c r="IQ18" s="1" t="n"/>
      <c r="IR18" s="1" t="n"/>
      <c r="IS18" s="1" t="n"/>
      <c r="IT18" s="1" t="n"/>
      <c r="IU18" s="1" t="n"/>
      <c r="IV18" s="1" t="n"/>
    </row>
    <row r="19" ht="15.5" customHeight="1">
      <c r="A19" s="1" t="n"/>
      <c r="B19" s="39" t="n"/>
      <c r="C19" s="64" t="n"/>
      <c r="D19" s="64" t="n"/>
      <c r="E19" s="64" t="n"/>
      <c r="F19" s="6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</row>
    <row r="20" ht="15.5" customHeight="1">
      <c r="A20" s="1" t="n"/>
      <c r="B20" s="39" t="n"/>
      <c r="C20" s="64" t="n"/>
      <c r="D20" s="64" t="n"/>
      <c r="E20" s="64" t="n"/>
      <c r="F20" s="64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  <c r="EI20" s="1" t="n"/>
      <c r="EJ20" s="1" t="n"/>
      <c r="EK20" s="1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  <c r="FD20" s="1" t="n"/>
      <c r="FE20" s="1" t="n"/>
      <c r="FF20" s="1" t="n"/>
      <c r="FG20" s="1" t="n"/>
      <c r="FH20" s="1" t="n"/>
      <c r="FI20" s="1" t="n"/>
      <c r="FJ20" s="1" t="n"/>
      <c r="FK20" s="1" t="n"/>
      <c r="FL20" s="1" t="n"/>
      <c r="FM20" s="1" t="n"/>
      <c r="FN20" s="1" t="n"/>
      <c r="FO20" s="1" t="n"/>
      <c r="FP20" s="1" t="n"/>
      <c r="FQ20" s="1" t="n"/>
      <c r="FR20" s="1" t="n"/>
      <c r="FS20" s="1" t="n"/>
      <c r="FT20" s="1" t="n"/>
      <c r="FU20" s="1" t="n"/>
      <c r="FV20" s="1" t="n"/>
      <c r="FW20" s="1" t="n"/>
      <c r="FX20" s="1" t="n"/>
      <c r="FY20" s="1" t="n"/>
      <c r="FZ20" s="1" t="n"/>
      <c r="GA20" s="1" t="n"/>
      <c r="GB20" s="1" t="n"/>
      <c r="GC20" s="1" t="n"/>
      <c r="GD20" s="1" t="n"/>
      <c r="GE20" s="1" t="n"/>
      <c r="GF20" s="1" t="n"/>
      <c r="GG20" s="1" t="n"/>
      <c r="GH20" s="1" t="n"/>
      <c r="GI20" s="1" t="n"/>
      <c r="GJ20" s="1" t="n"/>
      <c r="GK20" s="1" t="n"/>
      <c r="GL20" s="1" t="n"/>
      <c r="GM20" s="1" t="n"/>
      <c r="GN20" s="1" t="n"/>
      <c r="GO20" s="1" t="n"/>
      <c r="GP20" s="1" t="n"/>
      <c r="GQ20" s="1" t="n"/>
      <c r="GR20" s="1" t="n"/>
      <c r="GS20" s="1" t="n"/>
      <c r="GT20" s="1" t="n"/>
      <c r="GU20" s="1" t="n"/>
      <c r="GV20" s="1" t="n"/>
      <c r="GW20" s="1" t="n"/>
      <c r="GX20" s="1" t="n"/>
      <c r="GY20" s="1" t="n"/>
      <c r="GZ20" s="1" t="n"/>
      <c r="HA20" s="1" t="n"/>
      <c r="HB20" s="1" t="n"/>
      <c r="HC20" s="1" t="n"/>
      <c r="HD20" s="1" t="n"/>
      <c r="HE20" s="1" t="n"/>
      <c r="HF20" s="1" t="n"/>
      <c r="HG20" s="1" t="n"/>
      <c r="HH20" s="1" t="n"/>
      <c r="HI20" s="1" t="n"/>
      <c r="HJ20" s="1" t="n"/>
      <c r="HK20" s="1" t="n"/>
      <c r="HL20" s="1" t="n"/>
      <c r="HM20" s="1" t="n"/>
      <c r="HN20" s="1" t="n"/>
      <c r="HO20" s="1" t="n"/>
      <c r="HP20" s="1" t="n"/>
      <c r="HQ20" s="1" t="n"/>
      <c r="HR20" s="1" t="n"/>
      <c r="HS20" s="1" t="n"/>
      <c r="HT20" s="1" t="n"/>
      <c r="HU20" s="1" t="n"/>
      <c r="HV20" s="1" t="n"/>
      <c r="HW20" s="1" t="n"/>
      <c r="HX20" s="1" t="n"/>
      <c r="HY20" s="1" t="n"/>
      <c r="HZ20" s="1" t="n"/>
      <c r="IA20" s="1" t="n"/>
      <c r="IB20" s="1" t="n"/>
      <c r="IC20" s="1" t="n"/>
      <c r="ID20" s="1" t="n"/>
      <c r="IE20" s="1" t="n"/>
      <c r="IF20" s="1" t="n"/>
      <c r="IG20" s="1" t="n"/>
      <c r="IH20" s="1" t="n"/>
      <c r="II20" s="1" t="n"/>
      <c r="IJ20" s="1" t="n"/>
      <c r="IK20" s="1" t="n"/>
      <c r="IL20" s="1" t="n"/>
      <c r="IM20" s="1" t="n"/>
      <c r="IN20" s="1" t="n"/>
      <c r="IO20" s="1" t="n"/>
      <c r="IP20" s="1" t="n"/>
      <c r="IQ20" s="1" t="n"/>
      <c r="IR20" s="1" t="n"/>
      <c r="IS20" s="1" t="n"/>
      <c r="IT20" s="1" t="n"/>
      <c r="IU20" s="1" t="n"/>
      <c r="IV20" s="1" t="n"/>
    </row>
    <row r="21" ht="15.5" customHeight="1">
      <c r="A21" s="1" t="n"/>
      <c r="B21" s="39" t="n"/>
      <c r="C21" s="64" t="n"/>
      <c r="D21" s="64" t="n"/>
      <c r="E21" s="64" t="n"/>
      <c r="F21" s="64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  <c r="EI21" s="1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  <c r="GS21" s="1" t="n"/>
      <c r="GT21" s="1" t="n"/>
      <c r="GU21" s="1" t="n"/>
      <c r="GV21" s="1" t="n"/>
      <c r="GW21" s="1" t="n"/>
      <c r="GX21" s="1" t="n"/>
      <c r="GY21" s="1" t="n"/>
      <c r="GZ21" s="1" t="n"/>
      <c r="HA21" s="1" t="n"/>
      <c r="HB21" s="1" t="n"/>
      <c r="HC21" s="1" t="n"/>
      <c r="HD21" s="1" t="n"/>
      <c r="HE21" s="1" t="n"/>
      <c r="HF21" s="1" t="n"/>
      <c r="HG21" s="1" t="n"/>
      <c r="HH21" s="1" t="n"/>
      <c r="HI21" s="1" t="n"/>
      <c r="HJ21" s="1" t="n"/>
      <c r="HK21" s="1" t="n"/>
      <c r="HL21" s="1" t="n"/>
      <c r="HM21" s="1" t="n"/>
      <c r="HN21" s="1" t="n"/>
      <c r="HO21" s="1" t="n"/>
      <c r="HP21" s="1" t="n"/>
      <c r="HQ21" s="1" t="n"/>
      <c r="HR21" s="1" t="n"/>
      <c r="HS21" s="1" t="n"/>
      <c r="HT21" s="1" t="n"/>
      <c r="HU21" s="1" t="n"/>
      <c r="HV21" s="1" t="n"/>
      <c r="HW21" s="1" t="n"/>
      <c r="HX21" s="1" t="n"/>
      <c r="HY21" s="1" t="n"/>
      <c r="HZ21" s="1" t="n"/>
      <c r="IA21" s="1" t="n"/>
      <c r="IB21" s="1" t="n"/>
      <c r="IC21" s="1" t="n"/>
      <c r="ID21" s="1" t="n"/>
      <c r="IE21" s="1" t="n"/>
      <c r="IF21" s="1" t="n"/>
      <c r="IG21" s="1" t="n"/>
      <c r="IH21" s="1" t="n"/>
      <c r="II21" s="1" t="n"/>
      <c r="IJ21" s="1" t="n"/>
      <c r="IK21" s="1" t="n"/>
      <c r="IL21" s="1" t="n"/>
      <c r="IM21" s="1" t="n"/>
      <c r="IN21" s="1" t="n"/>
      <c r="IO21" s="1" t="n"/>
      <c r="IP21" s="1" t="n"/>
      <c r="IQ21" s="1" t="n"/>
      <c r="IR21" s="1" t="n"/>
      <c r="IS21" s="1" t="n"/>
      <c r="IT21" s="1" t="n"/>
      <c r="IU21" s="1" t="n"/>
      <c r="IV21" s="1" t="n"/>
    </row>
    <row r="22" ht="15.5" customHeight="1">
      <c r="A22" s="1" t="n"/>
      <c r="B22" s="39" t="n"/>
      <c r="C22" s="64" t="n"/>
      <c r="D22" s="64" t="n"/>
      <c r="E22" s="64" t="n"/>
      <c r="F22" s="64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</row>
    <row r="23" ht="15.5" customHeight="1">
      <c r="A23" s="1" t="n"/>
      <c r="B23" s="39" t="n"/>
      <c r="C23" s="64" t="n"/>
      <c r="D23" s="64" t="n"/>
      <c r="E23" s="64" t="n"/>
      <c r="F23" s="64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</row>
    <row r="24" ht="15.5" customHeight="1">
      <c r="A24" s="1" t="n"/>
      <c r="B24" s="39" t="n"/>
      <c r="C24" s="64" t="n"/>
      <c r="D24" s="64" t="n"/>
      <c r="E24" s="64" t="n"/>
      <c r="F24" s="64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</row>
    <row r="25" ht="15.5" customHeight="1">
      <c r="A25" s="1" t="n"/>
      <c r="B25" s="39" t="n"/>
      <c r="C25" s="64" t="n"/>
      <c r="D25" s="64" t="n"/>
      <c r="E25" s="64" t="n"/>
      <c r="F25" s="64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</row>
    <row r="26" ht="15.5" customHeight="1">
      <c r="A26" s="1" t="n"/>
      <c r="B26" s="39" t="n"/>
      <c r="C26" s="64" t="n"/>
      <c r="D26" s="64" t="n"/>
      <c r="E26" s="64" t="n"/>
      <c r="F26" s="64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</row>
    <row r="27" ht="15.5" customHeight="1">
      <c r="A27" s="1" t="n"/>
      <c r="B27" s="39" t="n"/>
      <c r="C27" s="64" t="n"/>
      <c r="D27" s="64" t="n"/>
      <c r="E27" s="64" t="n"/>
      <c r="F27" s="64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</row>
    <row r="28" ht="15.5" customHeight="1">
      <c r="A28" s="1" t="n"/>
      <c r="B28" s="39" t="n"/>
      <c r="C28" s="64" t="n"/>
      <c r="D28" s="64" t="n"/>
      <c r="E28" s="64" t="n"/>
      <c r="F28" s="64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</row>
    <row r="29" ht="15.5" customHeight="1">
      <c r="A29" s="1" t="n"/>
      <c r="B29" s="39" t="n"/>
      <c r="C29" s="64" t="n"/>
      <c r="D29" s="64" t="n"/>
      <c r="E29" s="64" t="n"/>
      <c r="F29" s="64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  <c r="EI29" s="1" t="n"/>
      <c r="EJ29" s="1" t="n"/>
      <c r="EK29" s="1" t="n"/>
      <c r="EL29" s="1" t="n"/>
      <c r="EM29" s="1" t="n"/>
      <c r="EN29" s="1" t="n"/>
      <c r="EO29" s="1" t="n"/>
      <c r="EP29" s="1" t="n"/>
      <c r="EQ29" s="1" t="n"/>
      <c r="ER29" s="1" t="n"/>
      <c r="ES29" s="1" t="n"/>
      <c r="ET29" s="1" t="n"/>
      <c r="EU29" s="1" t="n"/>
      <c r="EV29" s="1" t="n"/>
      <c r="EW29" s="1" t="n"/>
      <c r="EX29" s="1" t="n"/>
      <c r="EY29" s="1" t="n"/>
      <c r="EZ29" s="1" t="n"/>
      <c r="FA29" s="1" t="n"/>
      <c r="FB29" s="1" t="n"/>
      <c r="FC29" s="1" t="n"/>
      <c r="FD29" s="1" t="n"/>
      <c r="FE29" s="1" t="n"/>
      <c r="FF29" s="1" t="n"/>
      <c r="FG29" s="1" t="n"/>
      <c r="FH29" s="1" t="n"/>
      <c r="FI29" s="1" t="n"/>
      <c r="FJ29" s="1" t="n"/>
      <c r="FK29" s="1" t="n"/>
      <c r="FL29" s="1" t="n"/>
      <c r="FM29" s="1" t="n"/>
      <c r="FN29" s="1" t="n"/>
      <c r="FO29" s="1" t="n"/>
      <c r="FP29" s="1" t="n"/>
      <c r="FQ29" s="1" t="n"/>
      <c r="FR29" s="1" t="n"/>
      <c r="FS29" s="1" t="n"/>
      <c r="FT29" s="1" t="n"/>
      <c r="FU29" s="1" t="n"/>
      <c r="FV29" s="1" t="n"/>
      <c r="FW29" s="1" t="n"/>
      <c r="FX29" s="1" t="n"/>
      <c r="FY29" s="1" t="n"/>
      <c r="FZ29" s="1" t="n"/>
      <c r="GA29" s="1" t="n"/>
      <c r="GB29" s="1" t="n"/>
      <c r="GC29" s="1" t="n"/>
      <c r="GD29" s="1" t="n"/>
      <c r="GE29" s="1" t="n"/>
      <c r="GF29" s="1" t="n"/>
      <c r="GG29" s="1" t="n"/>
      <c r="GH29" s="1" t="n"/>
      <c r="GI29" s="1" t="n"/>
      <c r="GJ29" s="1" t="n"/>
      <c r="GK29" s="1" t="n"/>
      <c r="GL29" s="1" t="n"/>
      <c r="GM29" s="1" t="n"/>
      <c r="GN29" s="1" t="n"/>
      <c r="GO29" s="1" t="n"/>
      <c r="GP29" s="1" t="n"/>
      <c r="GQ29" s="1" t="n"/>
      <c r="GR29" s="1" t="n"/>
      <c r="GS29" s="1" t="n"/>
      <c r="GT29" s="1" t="n"/>
      <c r="GU29" s="1" t="n"/>
      <c r="GV29" s="1" t="n"/>
      <c r="GW29" s="1" t="n"/>
      <c r="GX29" s="1" t="n"/>
      <c r="GY29" s="1" t="n"/>
      <c r="GZ29" s="1" t="n"/>
      <c r="HA29" s="1" t="n"/>
      <c r="HB29" s="1" t="n"/>
      <c r="HC29" s="1" t="n"/>
      <c r="HD29" s="1" t="n"/>
      <c r="HE29" s="1" t="n"/>
      <c r="HF29" s="1" t="n"/>
      <c r="HG29" s="1" t="n"/>
      <c r="HH29" s="1" t="n"/>
      <c r="HI29" s="1" t="n"/>
      <c r="HJ29" s="1" t="n"/>
      <c r="HK29" s="1" t="n"/>
      <c r="HL29" s="1" t="n"/>
      <c r="HM29" s="1" t="n"/>
      <c r="HN29" s="1" t="n"/>
      <c r="HO29" s="1" t="n"/>
      <c r="HP29" s="1" t="n"/>
      <c r="HQ29" s="1" t="n"/>
      <c r="HR29" s="1" t="n"/>
      <c r="HS29" s="1" t="n"/>
      <c r="HT29" s="1" t="n"/>
      <c r="HU29" s="1" t="n"/>
      <c r="HV29" s="1" t="n"/>
      <c r="HW29" s="1" t="n"/>
      <c r="HX29" s="1" t="n"/>
      <c r="HY29" s="1" t="n"/>
      <c r="HZ29" s="1" t="n"/>
      <c r="IA29" s="1" t="n"/>
      <c r="IB29" s="1" t="n"/>
      <c r="IC29" s="1" t="n"/>
      <c r="ID29" s="1" t="n"/>
      <c r="IE29" s="1" t="n"/>
      <c r="IF29" s="1" t="n"/>
      <c r="IG29" s="1" t="n"/>
      <c r="IH29" s="1" t="n"/>
      <c r="II29" s="1" t="n"/>
      <c r="IJ29" s="1" t="n"/>
      <c r="IK29" s="1" t="n"/>
      <c r="IL29" s="1" t="n"/>
      <c r="IM29" s="1" t="n"/>
      <c r="IN29" s="1" t="n"/>
      <c r="IO29" s="1" t="n"/>
      <c r="IP29" s="1" t="n"/>
      <c r="IQ29" s="1" t="n"/>
      <c r="IR29" s="1" t="n"/>
      <c r="IS29" s="1" t="n"/>
      <c r="IT29" s="1" t="n"/>
      <c r="IU29" s="1" t="n"/>
      <c r="IV29" s="1" t="n"/>
    </row>
    <row r="30" ht="15.5" customHeight="1">
      <c r="A30" s="1" t="n"/>
      <c r="B30" s="39" t="n"/>
      <c r="C30" s="64" t="n"/>
      <c r="D30" s="64" t="n"/>
      <c r="E30" s="64" t="n"/>
      <c r="F30" s="64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  <c r="EI31" s="1" t="n"/>
      <c r="EJ31" s="1" t="n"/>
      <c r="EK31" s="1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  <c r="GS31" s="1" t="n"/>
      <c r="GT31" s="1" t="n"/>
      <c r="GU31" s="1" t="n"/>
      <c r="GV31" s="1" t="n"/>
      <c r="GW31" s="1" t="n"/>
      <c r="GX31" s="1" t="n"/>
      <c r="GY31" s="1" t="n"/>
      <c r="GZ31" s="1" t="n"/>
      <c r="HA31" s="1" t="n"/>
      <c r="HB31" s="1" t="n"/>
      <c r="HC31" s="1" t="n"/>
      <c r="HD31" s="1" t="n"/>
      <c r="HE31" s="1" t="n"/>
      <c r="HF31" s="1" t="n"/>
      <c r="HG31" s="1" t="n"/>
      <c r="HH31" s="1" t="n"/>
      <c r="HI31" s="1" t="n"/>
      <c r="HJ31" s="1" t="n"/>
      <c r="HK31" s="1" t="n"/>
      <c r="HL31" s="1" t="n"/>
      <c r="HM31" s="1" t="n"/>
      <c r="HN31" s="1" t="n"/>
      <c r="HO31" s="1" t="n"/>
      <c r="HP31" s="1" t="n"/>
      <c r="HQ31" s="1" t="n"/>
      <c r="HR31" s="1" t="n"/>
      <c r="HS31" s="1" t="n"/>
      <c r="HT31" s="1" t="n"/>
      <c r="HU31" s="1" t="n"/>
      <c r="HV31" s="1" t="n"/>
      <c r="HW31" s="1" t="n"/>
      <c r="HX31" s="1" t="n"/>
      <c r="HY31" s="1" t="n"/>
      <c r="HZ31" s="1" t="n"/>
      <c r="IA31" s="1" t="n"/>
      <c r="IB31" s="1" t="n"/>
      <c r="IC31" s="1" t="n"/>
      <c r="ID31" s="1" t="n"/>
      <c r="IE31" s="1" t="n"/>
      <c r="IF31" s="1" t="n"/>
      <c r="IG31" s="1" t="n"/>
      <c r="IH31" s="1" t="n"/>
      <c r="II31" s="1" t="n"/>
      <c r="IJ31" s="1" t="n"/>
      <c r="IK31" s="1" t="n"/>
      <c r="IL31" s="1" t="n"/>
      <c r="IM31" s="1" t="n"/>
      <c r="IN31" s="1" t="n"/>
      <c r="IO31" s="1" t="n"/>
      <c r="IP31" s="1" t="n"/>
      <c r="IQ31" s="1" t="n"/>
      <c r="IR31" s="1" t="n"/>
      <c r="IS31" s="1" t="n"/>
      <c r="IT31" s="1" t="n"/>
      <c r="IU31" s="1" t="n"/>
      <c r="I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  <c r="EI33" s="1" t="n"/>
      <c r="EJ33" s="1" t="n"/>
      <c r="EK33" s="1" t="n"/>
      <c r="EL33" s="1" t="n"/>
      <c r="EM33" s="1" t="n"/>
      <c r="EN33" s="1" t="n"/>
      <c r="EO33" s="1" t="n"/>
      <c r="EP33" s="1" t="n"/>
      <c r="EQ33" s="1" t="n"/>
      <c r="ER33" s="1" t="n"/>
      <c r="ES33" s="1" t="n"/>
      <c r="ET33" s="1" t="n"/>
      <c r="EU33" s="1" t="n"/>
      <c r="EV33" s="1" t="n"/>
      <c r="EW33" s="1" t="n"/>
      <c r="EX33" s="1" t="n"/>
      <c r="EY33" s="1" t="n"/>
      <c r="EZ33" s="1" t="n"/>
      <c r="FA33" s="1" t="n"/>
      <c r="FB33" s="1" t="n"/>
      <c r="FC33" s="1" t="n"/>
      <c r="FD33" s="1" t="n"/>
      <c r="FE33" s="1" t="n"/>
      <c r="FF33" s="1" t="n"/>
      <c r="FG33" s="1" t="n"/>
      <c r="FH33" s="1" t="n"/>
      <c r="FI33" s="1" t="n"/>
      <c r="FJ33" s="1" t="n"/>
      <c r="FK33" s="1" t="n"/>
      <c r="FL33" s="1" t="n"/>
      <c r="FM33" s="1" t="n"/>
      <c r="FN33" s="1" t="n"/>
      <c r="FO33" s="1" t="n"/>
      <c r="FP33" s="1" t="n"/>
      <c r="FQ33" s="1" t="n"/>
      <c r="FR33" s="1" t="n"/>
      <c r="FS33" s="1" t="n"/>
      <c r="FT33" s="1" t="n"/>
      <c r="FU33" s="1" t="n"/>
      <c r="FV33" s="1" t="n"/>
      <c r="FW33" s="1" t="n"/>
      <c r="FX33" s="1" t="n"/>
      <c r="FY33" s="1" t="n"/>
      <c r="FZ33" s="1" t="n"/>
      <c r="GA33" s="1" t="n"/>
      <c r="GB33" s="1" t="n"/>
      <c r="GC33" s="1" t="n"/>
      <c r="GD33" s="1" t="n"/>
      <c r="GE33" s="1" t="n"/>
      <c r="GF33" s="1" t="n"/>
      <c r="GG33" s="1" t="n"/>
      <c r="GH33" s="1" t="n"/>
      <c r="GI33" s="1" t="n"/>
      <c r="GJ33" s="1" t="n"/>
      <c r="GK33" s="1" t="n"/>
      <c r="GL33" s="1" t="n"/>
      <c r="GM33" s="1" t="n"/>
      <c r="GN33" s="1" t="n"/>
      <c r="GO33" s="1" t="n"/>
      <c r="GP33" s="1" t="n"/>
      <c r="GQ33" s="1" t="n"/>
      <c r="GR33" s="1" t="n"/>
      <c r="GS33" s="1" t="n"/>
      <c r="GT33" s="1" t="n"/>
      <c r="GU33" s="1" t="n"/>
      <c r="GV33" s="1" t="n"/>
      <c r="GW33" s="1" t="n"/>
      <c r="GX33" s="1" t="n"/>
      <c r="GY33" s="1" t="n"/>
      <c r="GZ33" s="1" t="n"/>
      <c r="HA33" s="1" t="n"/>
      <c r="HB33" s="1" t="n"/>
      <c r="HC33" s="1" t="n"/>
      <c r="HD33" s="1" t="n"/>
      <c r="HE33" s="1" t="n"/>
      <c r="HF33" s="1" t="n"/>
      <c r="HG33" s="1" t="n"/>
      <c r="HH33" s="1" t="n"/>
      <c r="HI33" s="1" t="n"/>
      <c r="HJ33" s="1" t="n"/>
      <c r="HK33" s="1" t="n"/>
      <c r="HL33" s="1" t="n"/>
      <c r="HM33" s="1" t="n"/>
      <c r="HN33" s="1" t="n"/>
      <c r="HO33" s="1" t="n"/>
      <c r="HP33" s="1" t="n"/>
      <c r="HQ33" s="1" t="n"/>
      <c r="HR33" s="1" t="n"/>
      <c r="HS33" s="1" t="n"/>
      <c r="HT33" s="1" t="n"/>
      <c r="HU33" s="1" t="n"/>
      <c r="HV33" s="1" t="n"/>
      <c r="HW33" s="1" t="n"/>
      <c r="HX33" s="1" t="n"/>
      <c r="HY33" s="1" t="n"/>
      <c r="HZ33" s="1" t="n"/>
      <c r="IA33" s="1" t="n"/>
      <c r="IB33" s="1" t="n"/>
      <c r="IC33" s="1" t="n"/>
      <c r="ID33" s="1" t="n"/>
      <c r="IE33" s="1" t="n"/>
      <c r="IF33" s="1" t="n"/>
      <c r="IG33" s="1" t="n"/>
      <c r="IH33" s="1" t="n"/>
      <c r="II33" s="1" t="n"/>
      <c r="IJ33" s="1" t="n"/>
      <c r="IK33" s="1" t="n"/>
      <c r="IL33" s="1" t="n"/>
      <c r="IM33" s="1" t="n"/>
      <c r="IN33" s="1" t="n"/>
      <c r="IO33" s="1" t="n"/>
      <c r="IP33" s="1" t="n"/>
      <c r="IQ33" s="1" t="n"/>
      <c r="IR33" s="1" t="n"/>
      <c r="IS33" s="1" t="n"/>
      <c r="IT33" s="1" t="n"/>
      <c r="IU33" s="1" t="n"/>
      <c r="I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  <c r="EI34" s="1" t="n"/>
      <c r="EJ34" s="1" t="n"/>
      <c r="EK34" s="1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  <c r="GS34" s="1" t="n"/>
      <c r="GT34" s="1" t="n"/>
      <c r="GU34" s="1" t="n"/>
      <c r="GV34" s="1" t="n"/>
      <c r="GW34" s="1" t="n"/>
      <c r="GX34" s="1" t="n"/>
      <c r="GY34" s="1" t="n"/>
      <c r="GZ34" s="1" t="n"/>
      <c r="HA34" s="1" t="n"/>
      <c r="HB34" s="1" t="n"/>
      <c r="HC34" s="1" t="n"/>
      <c r="HD34" s="1" t="n"/>
      <c r="HE34" s="1" t="n"/>
      <c r="HF34" s="1" t="n"/>
      <c r="HG34" s="1" t="n"/>
      <c r="HH34" s="1" t="n"/>
      <c r="HI34" s="1" t="n"/>
      <c r="HJ34" s="1" t="n"/>
      <c r="HK34" s="1" t="n"/>
      <c r="HL34" s="1" t="n"/>
      <c r="HM34" s="1" t="n"/>
      <c r="HN34" s="1" t="n"/>
      <c r="HO34" s="1" t="n"/>
      <c r="HP34" s="1" t="n"/>
      <c r="HQ34" s="1" t="n"/>
      <c r="HR34" s="1" t="n"/>
      <c r="HS34" s="1" t="n"/>
      <c r="HT34" s="1" t="n"/>
      <c r="HU34" s="1" t="n"/>
      <c r="HV34" s="1" t="n"/>
      <c r="HW34" s="1" t="n"/>
      <c r="HX34" s="1" t="n"/>
      <c r="HY34" s="1" t="n"/>
      <c r="HZ34" s="1" t="n"/>
      <c r="IA34" s="1" t="n"/>
      <c r="IB34" s="1" t="n"/>
      <c r="IC34" s="1" t="n"/>
      <c r="ID34" s="1" t="n"/>
      <c r="IE34" s="1" t="n"/>
      <c r="IF34" s="1" t="n"/>
      <c r="IG34" s="1" t="n"/>
      <c r="IH34" s="1" t="n"/>
      <c r="II34" s="1" t="n"/>
      <c r="IJ34" s="1" t="n"/>
      <c r="IK34" s="1" t="n"/>
      <c r="IL34" s="1" t="n"/>
      <c r="IM34" s="1" t="n"/>
      <c r="IN34" s="1" t="n"/>
      <c r="IO34" s="1" t="n"/>
      <c r="IP34" s="1" t="n"/>
      <c r="IQ34" s="1" t="n"/>
      <c r="IR34" s="1" t="n"/>
      <c r="IS34" s="1" t="n"/>
      <c r="IT34" s="1" t="n"/>
      <c r="IU34" s="1" t="n"/>
      <c r="I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</row>
    <row r="36">
      <c r="A36" s="1" t="n"/>
      <c r="B36" s="65" t="n"/>
      <c r="C36" s="1" t="n"/>
      <c r="D36" s="1" t="n"/>
      <c r="E36" s="1" t="n"/>
      <c r="F36" s="168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</row>
    <row r="37">
      <c r="A37" s="1" t="n"/>
      <c r="B37" s="65" t="n"/>
      <c r="C37" s="1" t="n"/>
      <c r="D37" s="1" t="n"/>
      <c r="E37" s="1" t="n"/>
      <c r="F37" s="66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  <c r="IE37" s="1" t="n"/>
      <c r="IF37" s="1" t="n"/>
      <c r="IG37" s="1" t="n"/>
      <c r="IH37" s="1" t="n"/>
      <c r="II37" s="1" t="n"/>
      <c r="IJ37" s="1" t="n"/>
      <c r="IK37" s="1" t="n"/>
      <c r="IL37" s="1" t="n"/>
      <c r="IM37" s="1" t="n"/>
      <c r="IN37" s="1" t="n"/>
      <c r="IO37" s="1" t="n"/>
      <c r="IP37" s="1" t="n"/>
      <c r="IQ37" s="1" t="n"/>
      <c r="IR37" s="1" t="n"/>
      <c r="IS37" s="1" t="n"/>
      <c r="IT37" s="1" t="n"/>
      <c r="IU37" s="1" t="n"/>
      <c r="IV37" s="1" t="n"/>
    </row>
    <row r="38" ht="15.5" customHeight="1">
      <c r="A38" s="1" t="n"/>
      <c r="B38" s="65" t="n"/>
      <c r="C38" s="1" t="n"/>
      <c r="D38" s="1" t="n"/>
      <c r="E38" s="39" t="n"/>
      <c r="F38" s="175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</row>
    <row r="39" ht="15.5" customHeight="1">
      <c r="A39" s="1" t="n"/>
      <c r="B39" s="1" t="n"/>
      <c r="C39" s="1" t="n"/>
      <c r="D39" s="1" t="n"/>
      <c r="E39" s="39" t="n"/>
      <c r="F39" s="39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</row>
    <row r="40" ht="15.5" customHeight="1">
      <c r="A40" s="1" t="n"/>
      <c r="B40" s="1" t="n"/>
      <c r="C40" s="1" t="n"/>
      <c r="D40" s="68" t="n"/>
      <c r="E40" s="69" t="n"/>
      <c r="F40" s="69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</row>
    <row r="41">
      <c r="A41" s="70" t="n"/>
      <c r="B41" s="71" t="n"/>
      <c r="C41" s="71" t="n"/>
      <c r="D41" s="176">
        <f>SUM(D13:D40)</f>
        <v/>
      </c>
      <c r="E41" s="1" t="inlineStr">
        <is>
          <t>PCS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  <c r="EI41" s="1" t="n"/>
      <c r="EJ41" s="1" t="n"/>
      <c r="EK41" s="1" t="n"/>
      <c r="EL41" s="1" t="n"/>
      <c r="EM41" s="1" t="n"/>
      <c r="EN41" s="1" t="n"/>
      <c r="EO41" s="1" t="n"/>
      <c r="EP41" s="1" t="n"/>
      <c r="EQ41" s="1" t="n"/>
      <c r="ER41" s="1" t="n"/>
      <c r="ES41" s="1" t="n"/>
      <c r="ET41" s="1" t="n"/>
      <c r="EU41" s="1" t="n"/>
      <c r="EV41" s="1" t="n"/>
      <c r="EW41" s="1" t="n"/>
      <c r="EX41" s="1" t="n"/>
      <c r="EY41" s="1" t="n"/>
      <c r="EZ41" s="1" t="n"/>
      <c r="FA41" s="1" t="n"/>
      <c r="FB41" s="1" t="n"/>
      <c r="FC41" s="1" t="n"/>
      <c r="FD41" s="1" t="n"/>
      <c r="FE41" s="1" t="n"/>
      <c r="FF41" s="1" t="n"/>
      <c r="FG41" s="1" t="n"/>
      <c r="FH41" s="1" t="n"/>
      <c r="FI41" s="1" t="n"/>
      <c r="FJ41" s="1" t="n"/>
      <c r="FK41" s="1" t="n"/>
      <c r="FL41" s="1" t="n"/>
      <c r="FM41" s="1" t="n"/>
      <c r="FN41" s="1" t="n"/>
      <c r="FO41" s="1" t="n"/>
      <c r="FP41" s="1" t="n"/>
      <c r="FQ41" s="1" t="n"/>
      <c r="FR41" s="1" t="n"/>
      <c r="FS41" s="1" t="n"/>
      <c r="FT41" s="1" t="n"/>
      <c r="FU41" s="1" t="n"/>
      <c r="FV41" s="1" t="n"/>
      <c r="FW41" s="1" t="n"/>
      <c r="FX41" s="1" t="n"/>
      <c r="FY41" s="1" t="n"/>
      <c r="FZ41" s="1" t="n"/>
      <c r="GA41" s="1" t="n"/>
      <c r="GB41" s="1" t="n"/>
      <c r="GC41" s="1" t="n"/>
      <c r="GD41" s="1" t="n"/>
      <c r="GE41" s="1" t="n"/>
      <c r="GF41" s="1" t="n"/>
      <c r="GG41" s="1" t="n"/>
      <c r="GH41" s="1" t="n"/>
      <c r="GI41" s="1" t="n"/>
      <c r="GJ41" s="1" t="n"/>
      <c r="GK41" s="1" t="n"/>
      <c r="GL41" s="1" t="n"/>
      <c r="GM41" s="1" t="n"/>
      <c r="GN41" s="1" t="n"/>
      <c r="GO41" s="1" t="n"/>
      <c r="GP41" s="1" t="n"/>
      <c r="GQ41" s="1" t="n"/>
      <c r="GR41" s="1" t="n"/>
      <c r="GS41" s="1" t="n"/>
      <c r="GT41" s="1" t="n"/>
      <c r="GU41" s="1" t="n"/>
      <c r="GV41" s="1" t="n"/>
      <c r="GW41" s="1" t="n"/>
      <c r="GX41" s="1" t="n"/>
      <c r="GY41" s="1" t="n"/>
      <c r="GZ41" s="1" t="n"/>
      <c r="HA41" s="1" t="n"/>
      <c r="HB41" s="1" t="n"/>
      <c r="HC41" s="1" t="n"/>
      <c r="HD41" s="1" t="n"/>
      <c r="HE41" s="1" t="n"/>
      <c r="HF41" s="1" t="n"/>
      <c r="HG41" s="1" t="n"/>
      <c r="HH41" s="1" t="n"/>
      <c r="HI41" s="1" t="n"/>
      <c r="HJ41" s="1" t="n"/>
      <c r="HK41" s="1" t="n"/>
      <c r="HL41" s="1" t="n"/>
      <c r="HM41" s="1" t="n"/>
      <c r="HN41" s="1" t="n"/>
      <c r="HO41" s="1" t="n"/>
      <c r="HP41" s="1" t="n"/>
      <c r="HQ41" s="1" t="n"/>
      <c r="HR41" s="1" t="n"/>
      <c r="HS41" s="1" t="n"/>
      <c r="HT41" s="1" t="n"/>
      <c r="HU41" s="1" t="n"/>
      <c r="HV41" s="1" t="n"/>
      <c r="HW41" s="1" t="n"/>
      <c r="HX41" s="1" t="n"/>
      <c r="HY41" s="1" t="n"/>
      <c r="HZ41" s="1" t="n"/>
      <c r="IA41" s="1" t="n"/>
      <c r="IB41" s="1" t="n"/>
      <c r="IC41" s="1" t="n"/>
      <c r="ID41" s="1" t="n"/>
      <c r="IE41" s="1" t="n"/>
      <c r="IF41" s="1" t="n"/>
      <c r="IG41" s="1" t="n"/>
      <c r="IH41" s="1" t="n"/>
      <c r="II41" s="1" t="n"/>
      <c r="IJ41" s="1" t="n"/>
      <c r="IK41" s="1" t="n"/>
      <c r="IL41" s="1" t="n"/>
      <c r="IM41" s="1" t="n"/>
      <c r="IN41" s="1" t="n"/>
      <c r="IO41" s="1" t="n"/>
      <c r="IP41" s="1" t="n"/>
      <c r="IQ41" s="1" t="n"/>
      <c r="IR41" s="1" t="n"/>
      <c r="IS41" s="1" t="n"/>
      <c r="IT41" s="1" t="n"/>
      <c r="IU41" s="1" t="n"/>
      <c r="IV41" s="1" t="n"/>
    </row>
    <row r="42">
      <c r="A42" s="73" t="n"/>
      <c r="B42" s="1" t="n"/>
      <c r="C42" s="1" t="n"/>
      <c r="D42" s="1" t="n"/>
      <c r="E42" s="74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</row>
    <row r="43">
      <c r="A43" s="1" t="inlineStr">
        <is>
          <t>ISSUED BY:</t>
        </is>
      </c>
      <c r="B43" s="1" t="n"/>
      <c r="C43" s="1" t="n"/>
      <c r="D43" s="75" t="n"/>
      <c r="E43" s="76" t="inlineStr">
        <is>
          <t>SUB TOTAL :</t>
        </is>
      </c>
      <c r="F43" s="177">
        <f>SUM(F13:F42)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</row>
    <row r="44" ht="15" customHeight="1">
      <c r="A44" s="1" t="n"/>
      <c r="B44" s="78" t="inlineStr">
        <is>
          <t>COMART CORPORATION</t>
        </is>
      </c>
      <c r="C44" s="1" t="n"/>
      <c r="D44" s="75" t="n"/>
      <c r="E44" s="76" t="inlineStr">
        <is>
          <t>FREIGHT :</t>
        </is>
      </c>
      <c r="F44" s="177" t="n">
        <v>0</v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</row>
    <row r="45" ht="15" customHeight="1">
      <c r="A45" s="1" t="n"/>
      <c r="B45" s="78" t="inlineStr">
        <is>
          <t>Emily Hou</t>
        </is>
      </c>
      <c r="C45" s="1" t="n"/>
      <c r="D45" s="75" t="n"/>
      <c r="E45" s="76" t="inlineStr">
        <is>
          <t xml:space="preserve">DISCOUNT: </t>
        </is>
      </c>
      <c r="F45" s="177" t="n">
        <v>0</v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</row>
    <row r="46">
      <c r="A46" s="1" t="n"/>
      <c r="B46" s="1" t="n"/>
      <c r="C46" s="1" t="n"/>
      <c r="D46" s="79" t="n"/>
      <c r="E46" s="80" t="inlineStr">
        <is>
          <t xml:space="preserve">TOTAL: </t>
        </is>
      </c>
      <c r="F46" s="178">
        <f>SUM(F43:F45)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</row>
    <row r="47" ht="15.5" customHeight="1">
      <c r="A47" s="39" t="n"/>
      <c r="B47" s="39" t="n"/>
      <c r="C47" s="39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</row>
  </sheetData>
  <mergeCells count="5">
    <mergeCell ref="A2:F2"/>
    <mergeCell ref="A1:F1"/>
    <mergeCell ref="A5:F5"/>
    <mergeCell ref="A4:F4"/>
    <mergeCell ref="A3:F3"/>
  </mergeCells>
  <hyperlinks>
    <hyperlink xmlns:r="http://schemas.openxmlformats.org/officeDocument/2006/relationships" ref="A2" r:id="rId1"/>
  </hyperlinks>
  <pageMargins left="0.7" right="0.7" top="0.75" bottom="0.75" header="0.3" footer="0.3"/>
  <pageSetup orientation="portrait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lydia_chen</dc:creator>
  <dcterms:created xsi:type="dcterms:W3CDTF">2015-07-16T04:09:37Z</dcterms:created>
  <dcterms:modified xsi:type="dcterms:W3CDTF">2026-06-24T07:28:03Z</dcterms:modified>
  <cp:lastModifiedBy>陳惠卿 [ Lydia Chen ]</cp:lastModifiedBy>
  <cp:lastPrinted>2022-08-30T03:41:40Z</cp:lastPrinted>
</cp:coreProperties>
</file>