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52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163055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2026-06-24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139</t>
        </is>
      </c>
      <c r="D12" s="130">
        <f>C12-A12+1</f>
        <v/>
      </c>
      <c r="E12" s="105" t="inlineStr">
        <is>
          <t>163055</t>
        </is>
      </c>
      <c r="F12" s="105" t="inlineStr">
        <is>
          <t>8SHB990005</t>
        </is>
      </c>
      <c r="G12" s="106" t="inlineStr">
        <is>
          <t>0266UH4CDPDV-SP; OFFST CD PVT/DSH/VNT MNT</t>
        </is>
      </c>
      <c r="H12" s="131" t="n">
        <v>36</v>
      </c>
      <c r="I12" s="131" t="inlineStr">
        <is>
          <t>37.5*35*43</t>
        </is>
      </c>
      <c r="J12" s="132">
        <f>37.5*35*43/1000000</f>
        <v/>
      </c>
      <c r="K12" s="133" t="n">
        <v>4.2</v>
      </c>
      <c r="L12" s="134" t="n">
        <v>8.300000000000001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115</t>
        </is>
      </c>
      <c r="D14" s="130">
        <f>C14-A14+1</f>
        <v/>
      </c>
      <c r="E14" s="105" t="inlineStr">
        <is>
          <t>163055</t>
        </is>
      </c>
      <c r="F14" s="105" t="inlineStr">
        <is>
          <t>8SHB040031</t>
        </is>
      </c>
      <c r="G14" s="106" t="inlineStr">
        <is>
          <t>0266UH4DVM-SP; UNV GRP 2N1 DSH/VNT MNT</t>
        </is>
      </c>
      <c r="H14" s="131" t="n">
        <v>48</v>
      </c>
      <c r="I14" s="131" t="inlineStr">
        <is>
          <t>38.5*37*39</t>
        </is>
      </c>
      <c r="J14" s="132">
        <f>38.5*37*39/1000000</f>
        <v/>
      </c>
      <c r="K14" s="138" t="n">
        <v>3.4</v>
      </c>
      <c r="L14" s="139" t="n">
        <v>8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02" t="inlineStr">
        <is>
          <t>1</t>
        </is>
      </c>
      <c r="B16" s="96" t="inlineStr">
        <is>
          <t>-</t>
        </is>
      </c>
      <c r="C16" s="103" t="inlineStr">
        <is>
          <t>84</t>
        </is>
      </c>
      <c r="D16" s="130">
        <f>C16-A16+1</f>
        <v/>
      </c>
      <c r="E16" s="105" t="inlineStr">
        <is>
          <t>163055</t>
        </is>
      </c>
      <c r="F16" s="105" t="inlineStr">
        <is>
          <t>8SHB130192</t>
        </is>
      </c>
      <c r="G16" s="106" t="inlineStr">
        <is>
          <t>0266MP2WD-XTSP; MAGICMOUNT PRO WIN DASH</t>
        </is>
      </c>
      <c r="H16" s="131" t="n">
        <v>24</v>
      </c>
      <c r="I16" s="131" t="inlineStr">
        <is>
          <t>35*32*43</t>
        </is>
      </c>
      <c r="J16" s="132">
        <f>35*32*43/1000000</f>
        <v/>
      </c>
      <c r="K16" s="138" t="n">
        <v>2.8</v>
      </c>
      <c r="L16" s="139" t="n">
        <v>6.6</v>
      </c>
    </row>
    <row r="17" ht="20.15" customFormat="1" customHeight="1" s="1">
      <c r="A17" s="97" t="n"/>
      <c r="B17" s="97" t="n"/>
      <c r="C17" s="14" t="n"/>
      <c r="D17" s="135" t="n"/>
      <c r="E17" s="136" t="n"/>
      <c r="F17" s="95" t="n"/>
      <c r="G17" s="87" t="inlineStr">
        <is>
          <t>SUBTOTAL:</t>
        </is>
      </c>
      <c r="H17" s="137">
        <f>H16*D16</f>
        <v/>
      </c>
      <c r="I17" s="137" t="n"/>
      <c r="J17" s="132">
        <f>J16*D16</f>
        <v/>
      </c>
      <c r="K17" s="138">
        <f>K16*D16</f>
        <v/>
      </c>
      <c r="L17" s="139">
        <f>L16*D16</f>
        <v/>
      </c>
    </row>
    <row r="18" ht="20.15" customFormat="1" customHeight="1" s="1">
      <c r="A18" s="140" t="inlineStr">
        <is>
          <t>338 CTNS</t>
        </is>
      </c>
      <c r="B18" s="141" t="n"/>
      <c r="C18" s="142" t="n"/>
      <c r="D18" s="143">
        <f>SUM(D12:D13)</f>
        <v/>
      </c>
      <c r="E18" s="16" t="n"/>
      <c r="F18" s="16" t="n"/>
      <c r="G18" s="17" t="inlineStr">
        <is>
          <t>TOTAL:</t>
        </is>
      </c>
      <c r="H18" s="144">
        <f>H13+H15+H17</f>
        <v/>
      </c>
      <c r="I18" s="144" t="n"/>
      <c r="J18" s="145">
        <f>J13+J15+J17</f>
        <v/>
      </c>
      <c r="K18" s="146">
        <f>K13+K15+K17</f>
        <v/>
      </c>
      <c r="L18" s="147">
        <f>L13+L15+L17</f>
        <v/>
      </c>
    </row>
    <row r="19" ht="20.15" customFormat="1" customHeight="1" s="1">
      <c r="A19" s="22" t="inlineStr">
        <is>
          <t>REMARK:</t>
        </is>
      </c>
      <c r="B19" s="23" t="n"/>
      <c r="C19" s="85" t="inlineStr">
        <is>
          <t xml:space="preserve">TOTAL: 625 CTNS / 19.19 CBM / 2637.50 KG </t>
        </is>
      </c>
      <c r="D19" s="148" t="n"/>
      <c r="E19" s="148" t="n"/>
      <c r="F19" s="111" t="n"/>
      <c r="G19" s="25" t="n"/>
      <c r="H19" s="111" t="n"/>
      <c r="I19" s="111" t="n"/>
      <c r="J19" s="149" t="n"/>
      <c r="K19" s="150" t="n"/>
      <c r="L19" s="149" t="n"/>
    </row>
    <row r="20" ht="20.15" customFormat="1" customHeight="1" s="1">
      <c r="A20" s="28" t="n"/>
      <c r="B20" s="28" t="n"/>
      <c r="C20" s="29" t="n"/>
      <c r="D20" s="151" t="n"/>
      <c r="E20" s="151" t="n"/>
      <c r="F20" s="111" t="n"/>
      <c r="G20" s="31" t="n"/>
      <c r="H20" s="31" t="n"/>
      <c r="I20" s="31" t="n"/>
      <c r="J20" s="31" t="n"/>
      <c r="K20" s="31" t="n"/>
      <c r="L20" s="31" t="n"/>
      <c r="M20" s="32" t="n"/>
    </row>
    <row r="21" ht="15.5" customHeight="1">
      <c r="A21" s="33" t="inlineStr">
        <is>
          <t xml:space="preserve">         **SHIPPING MARK**</t>
        </is>
      </c>
      <c r="B21" s="33" t="n"/>
      <c r="C21" s="33" t="n"/>
      <c r="D21" s="152" t="n"/>
      <c r="E21" s="152" t="n"/>
      <c r="F21" s="35" t="n"/>
      <c r="G21" s="36" t="n"/>
      <c r="H21" s="35" t="n"/>
      <c r="I21" s="35" t="n"/>
      <c r="J21" s="153" t="n"/>
      <c r="K21" s="154" t="n"/>
      <c r="L21" s="154" t="n"/>
      <c r="M21" s="39" t="n"/>
    </row>
    <row r="22" ht="15.5" customHeight="1">
      <c r="A22" s="155" t="inlineStr">
        <is>
          <t>Part Number: 0266UH4CDPDV-SP</t>
        </is>
      </c>
      <c r="C22" s="40" t="n"/>
      <c r="D22" s="156" t="n"/>
      <c r="E22" s="157" t="inlineStr">
        <is>
          <t>Part Number: 0266UH4DVM-SP</t>
        </is>
      </c>
      <c r="F22" s="35" t="n"/>
      <c r="I22" s="158" t="inlineStr">
        <is>
          <t>Part Number: 0266MP2WD-XTSP</t>
        </is>
      </c>
      <c r="L22" s="154" t="n"/>
    </row>
    <row r="23" ht="20.15" customFormat="1" customHeight="1" s="1">
      <c r="A23" s="155" t="inlineStr">
        <is>
          <t>PO#: 163055</t>
        </is>
      </c>
      <c r="C23" s="40" t="n"/>
      <c r="D23" s="156" t="n"/>
      <c r="E23" s="157" t="inlineStr">
        <is>
          <t>PO#: 163055</t>
        </is>
      </c>
      <c r="I23" s="158" t="inlineStr">
        <is>
          <t>PO#: 163055</t>
        </is>
      </c>
      <c r="L23" s="154" t="n"/>
    </row>
    <row r="24" ht="20.15" customFormat="1" customHeight="1" s="1">
      <c r="A24" s="155" t="inlineStr">
        <is>
          <t>Date Code: 待確認</t>
        </is>
      </c>
      <c r="B24" s="33" t="n"/>
      <c r="C24" s="33" t="n"/>
      <c r="D24" s="152" t="n"/>
      <c r="E24" s="159" t="inlineStr">
        <is>
          <t>Date Code: 待確認</t>
        </is>
      </c>
      <c r="I24" s="158" t="inlineStr">
        <is>
          <t>Date Code: 待確認</t>
        </is>
      </c>
      <c r="L24" s="154" t="n"/>
    </row>
    <row r="25" ht="20.15" customFormat="1" customHeight="1" s="1">
      <c r="A25" s="155" t="inlineStr">
        <is>
          <t>C/N: of 139</t>
        </is>
      </c>
      <c r="B25" s="1" t="n"/>
      <c r="C25" s="40" t="n"/>
      <c r="D25" s="156" t="n"/>
      <c r="E25" s="157" t="inlineStr">
        <is>
          <t>C/N: of 115</t>
        </is>
      </c>
      <c r="F25" s="55" t="n"/>
      <c r="G25" s="1" t="n"/>
      <c r="H25" s="153" t="n"/>
      <c r="I25" s="155" t="inlineStr">
        <is>
          <t>C/N: of 84</t>
        </is>
      </c>
      <c r="J25" s="39" t="n"/>
      <c r="K25" s="39" t="n"/>
      <c r="L25" s="154" t="n"/>
      <c r="N25" s="1" t="n"/>
      <c r="O25" s="40" t="n"/>
      <c r="P25" s="156" t="n"/>
      <c r="Q25" s="35" t="n"/>
      <c r="R25" s="1" t="n"/>
      <c r="S25" s="1" t="n"/>
      <c r="U25" s="153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</row>
    <row r="26" ht="15.5" customHeight="1">
      <c r="A26" s="155" t="inlineStr">
        <is>
          <t>Qty: 36 pcs</t>
        </is>
      </c>
      <c r="D26" s="55" t="n"/>
      <c r="E26" s="158" t="inlineStr">
        <is>
          <t>Qty: 48 pcs</t>
        </is>
      </c>
      <c r="F26" s="55" t="n"/>
      <c r="G26" s="1" t="n"/>
      <c r="H26" s="1" t="n"/>
      <c r="I26" s="155" t="inlineStr">
        <is>
          <t>Qty: 24 pcs</t>
        </is>
      </c>
      <c r="J26" s="153" t="n"/>
      <c r="K26" s="1" t="n"/>
      <c r="L26" s="154" t="n"/>
      <c r="N26" s="1" t="n"/>
      <c r="O26" s="40" t="n"/>
      <c r="P26" s="156" t="n"/>
      <c r="Q26" s="35" t="n"/>
      <c r="R26" s="1" t="n"/>
      <c r="S26" s="1" t="n"/>
      <c r="U26" s="153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</row>
    <row r="27" ht="15.5" customHeight="1">
      <c r="A27" s="155" t="inlineStr">
        <is>
          <t>N. W.: 4.2 kg 9.26 lbs</t>
        </is>
      </c>
      <c r="C27" s="40" t="n"/>
      <c r="D27" s="156" t="n"/>
      <c r="E27" s="157" t="inlineStr">
        <is>
          <t>N. W.: 3.4 kg 7.5 lbs</t>
        </is>
      </c>
      <c r="I27" s="158" t="inlineStr">
        <is>
          <t>N. W.: 2.8 kg 6.17 lbs</t>
        </is>
      </c>
      <c r="L27" s="154" t="n"/>
    </row>
    <row r="28" ht="20.15" customFormat="1" customHeight="1" s="1">
      <c r="A28" s="155" t="inlineStr">
        <is>
          <t>G. W.: 8.3 kg 18.3 lbs</t>
        </is>
      </c>
      <c r="C28" s="40" t="n"/>
      <c r="D28" s="156" t="n"/>
      <c r="E28" s="157" t="inlineStr">
        <is>
          <t>G. W.: 8.0 kg 17.64 lbs</t>
        </is>
      </c>
      <c r="I28" s="158" t="inlineStr">
        <is>
          <t>G. W.: 6.6 kg 14.55 lbs</t>
        </is>
      </c>
      <c r="L28" s="154" t="n"/>
    </row>
    <row r="29" ht="20.15" customFormat="1" customHeight="1" s="1">
      <c r="A29" s="155" t="inlineStr">
        <is>
          <t>Dims (WDH): 375 X 350 X 430 mm</t>
        </is>
      </c>
      <c r="B29" s="33" t="n"/>
      <c r="C29" s="33" t="n"/>
      <c r="D29" s="152" t="n"/>
      <c r="E29" s="159" t="inlineStr">
        <is>
          <t>Dims (WDH): 385 X 370 X 390 mm</t>
        </is>
      </c>
      <c r="I29" s="158" t="inlineStr">
        <is>
          <t>Dims (WDH): 350 X 320 X 430 mm</t>
        </is>
      </c>
      <c r="L29" s="154" t="n"/>
    </row>
    <row r="30" ht="20.15" customFormat="1" customHeight="1" s="1">
      <c r="A30" s="155" t="inlineStr">
        <is>
          <t>(WDH): 14.8 X 13.8 X 16.9 inches</t>
        </is>
      </c>
      <c r="B30" s="1" t="n"/>
      <c r="C30" s="40" t="n"/>
      <c r="D30" s="156" t="n"/>
      <c r="E30" s="157" t="inlineStr">
        <is>
          <t>(WDH): 15.2 X 14.6 X 15.4 inches</t>
        </is>
      </c>
      <c r="F30" s="55" t="n"/>
      <c r="G30" s="1" t="n"/>
      <c r="H30" s="153" t="n"/>
      <c r="I30" s="155" t="inlineStr">
        <is>
          <t>(WDH): 13.8 X 12.6 X 16.9 inches</t>
        </is>
      </c>
      <c r="J30" s="39" t="n"/>
      <c r="K30" s="39" t="n"/>
      <c r="L30" s="154" t="n"/>
      <c r="N30" s="1" t="n"/>
      <c r="O30" s="40" t="n"/>
      <c r="P30" s="156" t="n"/>
      <c r="Q30" s="35" t="n"/>
      <c r="R30" s="1" t="n"/>
      <c r="S30" s="1" t="n"/>
      <c r="U30" s="153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</row>
    <row r="31" ht="20.15" customFormat="1" customHeight="1" s="1">
      <c r="A31" s="155" t="inlineStr">
        <is>
          <t>Made in Vietnam</t>
        </is>
      </c>
      <c r="D31" s="55" t="n"/>
      <c r="E31" s="158" t="inlineStr">
        <is>
          <t>Made in Vietnam</t>
        </is>
      </c>
      <c r="F31" s="55" t="n"/>
      <c r="G31" s="1" t="n"/>
      <c r="H31" s="1" t="n"/>
      <c r="I31" s="155" t="inlineStr">
        <is>
          <t>Made in Vietnam</t>
        </is>
      </c>
      <c r="J31" s="153" t="n"/>
      <c r="K31" s="1" t="n"/>
      <c r="L31" s="154" t="n"/>
      <c r="N31" s="1" t="n"/>
      <c r="O31" s="40" t="n"/>
      <c r="P31" s="156" t="n"/>
      <c r="Q31" s="35" t="n"/>
      <c r="R31" s="1" t="n"/>
      <c r="S31" s="1" t="n"/>
      <c r="U31" s="153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  <c r="IW31" s="1" t="n"/>
    </row>
    <row r="32" ht="20.15" customFormat="1" customHeight="1" s="1">
      <c r="A32" s="155" t="inlineStr">
        <is>
          <t>*** GOODS ROHS COMPLIANT***</t>
        </is>
      </c>
      <c r="C32" s="40" t="n"/>
      <c r="D32" s="156" t="n"/>
      <c r="E32" s="157" t="inlineStr">
        <is>
          <t>*** GOODS ROHS COMPLIANT***</t>
        </is>
      </c>
      <c r="I32" s="158" t="inlineStr">
        <is>
          <t>*** GOODS ROHS COMPLIANT***</t>
        </is>
      </c>
      <c r="L32" s="154" t="n"/>
    </row>
    <row r="33" ht="20.15" customFormat="1" customHeight="1" s="1">
      <c r="A33" s="155" t="inlineStr">
        <is>
          <t>RFID</t>
        </is>
      </c>
      <c r="C33" s="40" t="n"/>
      <c r="D33" s="156" t="n"/>
      <c r="E33" s="156" t="n"/>
      <c r="I33" s="160" t="n"/>
      <c r="L33" s="154" t="n"/>
    </row>
    <row r="34" ht="20.15" customFormat="1" customHeight="1" s="1">
      <c r="A34" s="65" t="n"/>
      <c r="C34" s="40" t="n"/>
      <c r="D34" s="156" t="n"/>
      <c r="E34" s="156" t="n"/>
      <c r="G34" s="160" t="n"/>
      <c r="I34" s="160" t="n"/>
      <c r="L34" s="154" t="n"/>
    </row>
    <row r="35" ht="15.5" customHeight="1">
      <c r="A35" s="33" t="n"/>
      <c r="C35" s="40" t="n"/>
      <c r="D35" s="156" t="n"/>
      <c r="E35" s="156" t="n"/>
      <c r="I35" s="65" t="n"/>
      <c r="L35" s="154" t="n"/>
    </row>
    <row r="36" ht="15.5" customHeight="1">
      <c r="A36" s="161" t="n"/>
      <c r="C36" s="40" t="n"/>
      <c r="D36" s="156" t="n"/>
      <c r="E36" s="156" t="n"/>
      <c r="I36" s="65" t="n"/>
      <c r="L36" s="154" t="n"/>
    </row>
    <row r="37" ht="20.15" customFormat="1" customHeight="1" s="1">
      <c r="A37" s="161" t="n"/>
      <c r="C37" s="40" t="n"/>
      <c r="D37" s="156" t="n"/>
      <c r="E37" s="156" t="n"/>
      <c r="I37" s="65" t="n"/>
      <c r="L37" s="154" t="n"/>
    </row>
    <row r="38" ht="20.15" customFormat="1" customHeight="1" s="1">
      <c r="A38" s="161" t="n"/>
      <c r="B38" s="33" t="n"/>
      <c r="C38" s="33" t="n"/>
      <c r="D38" s="152" t="n"/>
      <c r="E38" s="152" t="n"/>
      <c r="I38" s="65" t="n"/>
      <c r="L38" s="154" t="n"/>
    </row>
    <row r="39" ht="20.15" customFormat="1" customHeight="1" s="1">
      <c r="A39" s="161" t="n"/>
      <c r="B39" s="1" t="n"/>
      <c r="C39" s="40" t="n"/>
      <c r="D39" s="156" t="n"/>
      <c r="E39" s="156" t="n"/>
      <c r="F39" s="35" t="n"/>
      <c r="G39" s="1" t="n"/>
      <c r="H39" s="1" t="n"/>
      <c r="I39" s="65" t="n"/>
      <c r="J39" s="39" t="n"/>
      <c r="K39" s="39" t="n"/>
      <c r="L39" s="154" t="n"/>
      <c r="N39" s="1" t="n"/>
      <c r="O39" s="40" t="n"/>
      <c r="P39" s="156" t="n"/>
      <c r="Q39" s="35" t="n"/>
      <c r="R39" s="1" t="n"/>
      <c r="S39" s="1" t="n"/>
      <c r="U39" s="153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</row>
    <row r="40" ht="20.15" customFormat="1" customHeight="1" s="1">
      <c r="A40" s="33" t="n"/>
      <c r="D40" s="55" t="n"/>
      <c r="E40" s="55" t="n"/>
      <c r="F40" s="55" t="n"/>
      <c r="G40" s="1" t="n"/>
      <c r="H40" s="1" t="n"/>
      <c r="I40" s="65" t="n"/>
      <c r="J40" s="153" t="n"/>
      <c r="K40" s="1" t="n"/>
      <c r="L40" s="154" t="n"/>
      <c r="N40" s="1" t="n"/>
      <c r="O40" s="40" t="n"/>
      <c r="P40" s="156" t="n"/>
      <c r="Q40" s="35" t="n"/>
      <c r="R40" s="1" t="n"/>
      <c r="S40" s="1" t="n"/>
      <c r="U40" s="153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</row>
    <row r="41" ht="20.15" customFormat="1" customHeight="1" s="1">
      <c r="A41" s="33" t="n"/>
      <c r="C41" s="40" t="n"/>
      <c r="D41" s="156" t="n"/>
      <c r="E41" s="156" t="n"/>
      <c r="I41" s="65" t="n"/>
      <c r="L41" s="154" t="n"/>
    </row>
    <row r="42" ht="16" customHeight="1" thickBot="1">
      <c r="A42" s="33" t="n"/>
      <c r="C42" s="40" t="n"/>
      <c r="D42" s="156" t="n"/>
      <c r="E42" s="156" t="n"/>
      <c r="I42" s="65" t="n"/>
      <c r="L42" s="154" t="n"/>
    </row>
    <row r="43" ht="16" customHeight="1" thickTop="1">
      <c r="A43" s="161" t="n"/>
      <c r="C43" s="40" t="n"/>
      <c r="D43" s="156" t="n"/>
      <c r="E43" s="156" t="n"/>
      <c r="I43" s="65" t="n"/>
      <c r="L43" s="154" t="n"/>
    </row>
    <row r="44">
      <c r="A44" s="161" t="n"/>
      <c r="C44" s="40" t="n"/>
      <c r="D44" s="156" t="n"/>
      <c r="E44" s="156" t="n"/>
      <c r="I44" s="65" t="n"/>
      <c r="L44" s="154" t="n"/>
    </row>
    <row r="45">
      <c r="A45" s="161" t="n"/>
      <c r="C45" s="40" t="n"/>
      <c r="D45" s="156" t="n"/>
      <c r="E45" s="156" t="n"/>
      <c r="G45" s="161" t="n"/>
      <c r="I45" s="160" t="n"/>
      <c r="L45" s="154" t="n"/>
    </row>
    <row r="46" ht="17" customHeight="1">
      <c r="A46" s="45" t="n"/>
      <c r="B46" s="44" t="n"/>
      <c r="C46" s="45" t="n"/>
      <c r="D46" s="162" t="n"/>
      <c r="E46" s="162" t="n"/>
      <c r="F46" s="47" t="n"/>
      <c r="G46" s="47" t="n"/>
      <c r="H46" s="43" t="n"/>
      <c r="I46" s="43" t="n"/>
      <c r="J46" s="48" t="n"/>
      <c r="K46" s="43" t="n"/>
      <c r="L46" s="163" t="n"/>
      <c r="N46" s="1" t="n"/>
      <c r="O46" s="40" t="n"/>
      <c r="P46" s="156" t="n"/>
      <c r="Q46" s="35" t="n"/>
      <c r="R46" s="1" t="n"/>
      <c r="S46" s="1" t="n"/>
      <c r="U46" s="153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1" t="inlineStr">
        <is>
          <t>ISSUED BY:</t>
        </is>
      </c>
      <c r="B47" s="1" t="n"/>
      <c r="C47" s="1" t="n"/>
      <c r="D47" s="164" t="n"/>
      <c r="E47" s="164" t="n"/>
      <c r="F47" s="111" t="n"/>
      <c r="G47" s="1" t="n"/>
      <c r="H47" s="1" t="n"/>
      <c r="I47" s="1" t="n"/>
      <c r="J47" s="165" t="n"/>
      <c r="K47" s="166" t="n"/>
      <c r="L47" s="166" t="n"/>
      <c r="M47" s="161" t="n"/>
      <c r="N47" s="33" t="n"/>
      <c r="O47" s="33" t="n"/>
      <c r="P47" s="152" t="n"/>
      <c r="Q47" s="35" t="n"/>
      <c r="S47" s="1" t="n"/>
      <c r="T47" s="33" t="n"/>
      <c r="U47" s="153" t="n"/>
      <c r="V47" s="167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" t="n"/>
      <c r="B48" s="1" t="n"/>
      <c r="C48" s="1" t="n"/>
      <c r="D48" s="164" t="n"/>
      <c r="E48" s="164" t="n"/>
      <c r="F48" s="111" t="inlineStr">
        <is>
          <t>COMART CORPORATION</t>
        </is>
      </c>
      <c r="G48" s="1" t="n"/>
      <c r="H48" s="1" t="n"/>
      <c r="I48" s="1" t="n"/>
      <c r="J48" s="165" t="n"/>
      <c r="K48" s="166" t="n"/>
      <c r="L48" s="16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  <row r="49">
      <c r="A49" s="1" t="n"/>
      <c r="B49" s="1" t="n"/>
      <c r="C49" s="1" t="n"/>
      <c r="D49" s="164" t="n"/>
      <c r="E49" s="164" t="n"/>
      <c r="F49" s="111" t="inlineStr">
        <is>
          <t>EMILY HOU</t>
        </is>
      </c>
      <c r="G49" s="1" t="n"/>
      <c r="H49" s="1" t="n"/>
      <c r="I49" s="1" t="n"/>
      <c r="J49" s="165" t="n"/>
      <c r="K49" s="166" t="n"/>
      <c r="L49" s="16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</row>
    <row r="50">
      <c r="A50" s="31" t="n"/>
      <c r="B50" s="31" t="n"/>
      <c r="C50" s="31" t="n"/>
      <c r="D50" s="168" t="n"/>
      <c r="E50" s="168" t="n"/>
      <c r="F50" s="54" t="n"/>
      <c r="G50" s="31" t="n"/>
      <c r="H50" s="31" t="n"/>
      <c r="I50" s="31" t="n"/>
      <c r="J50" s="31" t="n"/>
      <c r="K50" s="31" t="n"/>
      <c r="L50" s="3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</row>
    <row r="51">
      <c r="A51" s="31" t="n"/>
      <c r="B51" s="31" t="n"/>
      <c r="C51" s="31" t="n"/>
      <c r="D51" s="168" t="n"/>
      <c r="E51" s="168" t="n"/>
      <c r="F51" s="54" t="n"/>
      <c r="G51" s="31" t="n"/>
      <c r="H51" s="31" t="n"/>
      <c r="I51" s="31" t="n"/>
      <c r="J51" s="31" t="n"/>
      <c r="K51" s="31" t="n"/>
      <c r="L51" s="3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</row>
    <row r="52">
      <c r="A52" s="1" t="n"/>
      <c r="B52" s="1" t="n"/>
      <c r="C52" s="1" t="n"/>
      <c r="D52" s="164" t="n"/>
      <c r="E52" s="164" t="n"/>
      <c r="F52" s="111" t="n"/>
      <c r="G52" s="1" t="n"/>
      <c r="H52" s="1" t="n"/>
      <c r="I52" s="1" t="n"/>
      <c r="J52" s="1" t="n"/>
      <c r="K52" s="1" t="n"/>
      <c r="L52" s="165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</row>
  </sheetData>
  <mergeCells count="6">
    <mergeCell ref="A2:L2"/>
    <mergeCell ref="A11:C11"/>
    <mergeCell ref="A1:L1"/>
    <mergeCell ref="A18:C18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9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75DAYS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0" t="n">
        <v>10000</v>
      </c>
      <c r="E13" s="171" t="n">
        <v>3.469</v>
      </c>
      <c r="F13" s="172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0" t="n">
        <v>36000</v>
      </c>
      <c r="E14" s="171" t="n">
        <v>2.722</v>
      </c>
      <c r="F14" s="172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0" t="n">
        <v>6000</v>
      </c>
      <c r="E15" s="171" t="n">
        <v>3.96</v>
      </c>
      <c r="F15" s="172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6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3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4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5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5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5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6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2026-06-24T07:31:07Z</dcterms:modified>
  <cp:lastModifiedBy>陳惠卿 [ Lydia Chen ]</cp:lastModifiedBy>
  <cp:lastPrinted>2022-08-30T03:41:40Z</cp:lastPrinted>
</cp:coreProperties>
</file>