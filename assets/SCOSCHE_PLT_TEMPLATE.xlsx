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0_);[Red]\(#,##0.000\)"/>
    <numFmt numFmtId="165" formatCode="0.00_);[Red]\(0.00\)"/>
    <numFmt numFmtId="166" formatCode="0.000_);[Red]\(0.000\)"/>
    <numFmt numFmtId="167" formatCode="0_);[Red]\(0\)"/>
    <numFmt numFmtId="168" formatCode="#,##0_);[Red]\(#,##0\)"/>
    <numFmt numFmtId="169" formatCode="_-* #,##0.00_-;\-* #,##0.00_-;_-* &quot;-&quot;??_-;_-@_-"/>
    <numFmt numFmtId="170" formatCode="#,##0.00_);[Red]\(#,##0.00\)"/>
  </numFmts>
  <fonts count="10">
    <font>
      <name val="Calibri"/>
      <family val="2"/>
      <color theme="1"/>
      <sz val="11"/>
      <scheme val="minor"/>
    </font>
    <font>
      <name val="Times New Roman"/>
      <family val="1"/>
      <b val="1"/>
      <sz val="20"/>
      <u val="single"/>
    </font>
    <font>
      <name val="Times New Roman"/>
      <family val="1"/>
      <sz val="11"/>
    </font>
    <font>
      <name val="Times New Roman"/>
      <family val="1"/>
      <b val="1"/>
      <sz val="16"/>
      <u val="single"/>
    </font>
    <font>
      <name val="Times New Roman"/>
      <family val="1"/>
      <b val="1"/>
      <sz val="12"/>
    </font>
    <font>
      <name val="Times New Roman"/>
      <family val="1"/>
      <b val="1"/>
      <sz val="11"/>
    </font>
    <font>
      <name val="Times New Roman"/>
      <family val="1"/>
      <color theme="1"/>
      <sz val="12"/>
    </font>
    <font>
      <name val="Times New Roman"/>
      <family val="1"/>
      <sz val="10"/>
    </font>
    <font>
      <name val="Times New Roman"/>
      <family val="1"/>
      <sz val="12"/>
    </font>
    <font>
      <name val="Times New Roman"/>
      <family val="1"/>
      <color theme="0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164" fontId="4" fillId="2" borderId="0" applyAlignment="1" pivotButton="0" quotePrefix="0" xfId="0">
      <alignment horizontal="right" vertical="center"/>
    </xf>
    <xf numFmtId="165" fontId="2" fillId="2" borderId="0" applyAlignment="1" pivotButton="0" quotePrefix="0" xfId="0">
      <alignment horizontal="right" vertical="center"/>
    </xf>
    <xf numFmtId="166" fontId="4" fillId="2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166" fontId="5" fillId="0" borderId="3" applyAlignment="1" pivotButton="0" quotePrefix="0" xfId="0">
      <alignment horizontal="center" vertical="center"/>
    </xf>
    <xf numFmtId="165" fontId="5" fillId="0" borderId="3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 wrapText="1"/>
    </xf>
    <xf numFmtId="49" fontId="2" fillId="0" borderId="6" applyAlignment="1" pivotButton="0" quotePrefix="0" xfId="0">
      <alignment horizontal="center" vertical="center" wrapText="1"/>
    </xf>
    <xf numFmtId="167" fontId="2" fillId="0" borderId="5" applyAlignment="1" pivotButton="0" quotePrefix="0" xfId="0">
      <alignment horizontal="center" vertical="center" wrapText="1"/>
    </xf>
    <xf numFmtId="167" fontId="2" fillId="0" borderId="7" applyAlignment="1" pivotButton="0" quotePrefix="0" xfId="0">
      <alignment horizontal="center" vertical="center" wrapText="1"/>
    </xf>
    <xf numFmtId="49" fontId="2" fillId="0" borderId="5" applyAlignment="1" pivotButton="0" quotePrefix="0" xfId="0">
      <alignment horizontal="right" vertical="center" wrapText="1"/>
    </xf>
    <xf numFmtId="49" fontId="2" fillId="0" borderId="6" applyAlignment="1" pivotButton="0" quotePrefix="0" xfId="0">
      <alignment horizontal="left" vertical="center" wrapText="1"/>
    </xf>
    <xf numFmtId="167" fontId="6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167" fontId="2" fillId="0" borderId="7" applyAlignment="1" pivotButton="0" quotePrefix="0" xfId="0">
      <alignment horizontal="center" vertical="center"/>
    </xf>
    <xf numFmtId="168" fontId="2" fillId="0" borderId="7" applyAlignment="1" pivotButton="0" quotePrefix="0" xfId="0">
      <alignment horizontal="center" vertical="center"/>
    </xf>
    <xf numFmtId="169" fontId="2" fillId="0" borderId="7" applyAlignment="1" pivotButton="0" quotePrefix="0" xfId="0">
      <alignment vertical="center"/>
    </xf>
    <xf numFmtId="169" fontId="2" fillId="0" borderId="10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166" fontId="8" fillId="0" borderId="11" applyAlignment="1" pivotButton="0" quotePrefix="0" xfId="0">
      <alignment horizontal="right" vertical="center"/>
    </xf>
    <xf numFmtId="170" fontId="8" fillId="0" borderId="11" applyAlignment="1" pivotButton="0" quotePrefix="0" xfId="0">
      <alignment horizontal="right" vertical="center"/>
    </xf>
    <xf numFmtId="170" fontId="8" fillId="0" borderId="12" applyAlignment="1" pivotButton="0" quotePrefix="0" xfId="0">
      <alignment horizontal="right" vertical="center"/>
    </xf>
    <xf numFmtId="0" fontId="8" fillId="0" borderId="5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7" fontId="8" fillId="0" borderId="5" applyAlignment="1" pivotButton="0" quotePrefix="0" xfId="0">
      <alignment horizontal="center" vertical="center"/>
    </xf>
    <xf numFmtId="167" fontId="8" fillId="0" borderId="10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8" fillId="0" borderId="7" applyAlignment="1" pivotButton="0" quotePrefix="0" xfId="0">
      <alignment horizontal="right" vertical="center" wrapText="1"/>
    </xf>
    <xf numFmtId="168" fontId="8" fillId="0" borderId="7" applyAlignment="1" pivotButton="0" quotePrefix="0" xfId="0">
      <alignment horizontal="center" vertical="center"/>
    </xf>
    <xf numFmtId="169" fontId="8" fillId="0" borderId="7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164" fontId="8" fillId="0" borderId="7" applyAlignment="1" pivotButton="0" quotePrefix="0" xfId="0">
      <alignment horizontal="right" vertical="center"/>
    </xf>
    <xf numFmtId="170" fontId="8" fillId="0" borderId="7" applyAlignment="1" pivotButton="0" quotePrefix="0" xfId="0">
      <alignment horizontal="right" vertical="center"/>
    </xf>
    <xf numFmtId="170" fontId="8" fillId="0" borderId="1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7.08984375" customWidth="1" min="1" max="1"/>
    <col width="2" customWidth="1" min="2" max="2"/>
    <col width="6.453125" customWidth="1" min="3" max="3"/>
    <col width="10.453125" customWidth="1" min="4" max="4"/>
    <col width="11.36328125" customWidth="1" min="5" max="5"/>
    <col width="3.7265625" customWidth="1" min="6" max="6"/>
    <col width="2.36328125" customWidth="1" min="7" max="7"/>
    <col width="4.90625" customWidth="1" min="8" max="8"/>
    <col width="11.36328125" customWidth="1" min="9" max="9"/>
    <col width="13.26953125" customWidth="1" min="10" max="10"/>
    <col width="34.36328125" customWidth="1" min="11" max="11"/>
    <col width="9.36328125" customWidth="1" min="12" max="12"/>
    <col width="9.453125" customWidth="1" min="13" max="13"/>
    <col width="11.453125" customWidth="1" min="14" max="14"/>
    <col width="16.6328125" customWidth="1" min="16" max="16"/>
    <col width="13.453125" customWidth="1" min="17" max="17"/>
    <col width="13" customWidth="1" min="18" max="18"/>
    <col width="14.36328125" customWidth="1" min="19" max="19"/>
    <col width="8.7265625" customWidth="1" min="20" max="20"/>
  </cols>
  <sheetData>
    <row r="1" ht="25" customHeight="1">
      <c r="A1" s="1" t="inlineStr">
        <is>
          <t>COMART CORPORATION</t>
        </is>
      </c>
    </row>
    <row r="2" ht="25" customHeight="1">
      <c r="A2" s="2" t="inlineStr">
        <is>
          <t>TEL:+886-2-89111133   FAX:+886-2-86653056</t>
        </is>
      </c>
    </row>
    <row r="3" ht="25" customHeight="1">
      <c r="A3" s="2" t="inlineStr">
        <is>
          <t>3F., No.12, Lane 235, Baociao Rd., Sindian Dist, New Taipei City 23145, Taiwan, R.O.C.</t>
        </is>
      </c>
    </row>
    <row r="4" ht="25" customHeight="1">
      <c r="A4" s="3" t="inlineStr">
        <is>
          <t>PACKING LIST</t>
        </is>
      </c>
    </row>
    <row r="5" ht="25" customHeight="1">
      <c r="A5" s="4" t="inlineStr">
        <is>
          <t>CONSIGNEE: SCOSCHE INDUSTRIES INC.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4" t="n"/>
      <c r="N5" s="4" t="n"/>
      <c r="O5" s="4" t="n"/>
      <c r="P5" s="5" t="n"/>
      <c r="Q5" s="6" t="n"/>
      <c r="R5" s="5" t="n"/>
      <c r="S5" s="7" t="n"/>
      <c r="T5" s="8" t="n"/>
      <c r="U5" s="8" t="n"/>
    </row>
    <row r="6" ht="25" customHeight="1">
      <c r="A6" s="4" t="inlineStr">
        <is>
          <t>SHIP TO: 188 COMMERCE WAY SPRUCE PINE, AL 35585, USA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4" t="n"/>
      <c r="N6" s="4" t="n"/>
      <c r="O6" s="4" t="n"/>
      <c r="P6" s="5" t="n"/>
      <c r="Q6" s="9" t="n"/>
      <c r="R6" s="9" t="n"/>
      <c r="S6" s="8" t="n"/>
    </row>
    <row r="7" ht="25" customHeight="1">
      <c r="A7" s="4" t="inlineStr">
        <is>
          <t>ATTN: DUSTIN MURRAY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4" t="n"/>
      <c r="N7" s="4" t="n"/>
      <c r="O7" s="4" t="n"/>
      <c r="P7" s="5" t="n"/>
      <c r="Q7" s="9" t="inlineStr">
        <is>
          <t xml:space="preserve">INV: </t>
        </is>
      </c>
      <c r="R7" s="10" t="n"/>
      <c r="S7" s="8" t="n"/>
    </row>
    <row r="8" ht="25" customHeight="1">
      <c r="A8" s="4" t="inlineStr">
        <is>
          <t>EIN: 95-3659275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4" t="n"/>
      <c r="N8" s="4" t="n"/>
      <c r="O8" s="4" t="n"/>
      <c r="P8" s="5" t="n"/>
      <c r="Q8" s="10" t="inlineStr">
        <is>
          <t>PO: 162677</t>
        </is>
      </c>
      <c r="R8" s="10" t="n"/>
      <c r="S8" s="8" t="n"/>
    </row>
    <row r="9" ht="25" customHeight="1">
      <c r="A9" s="4" t="inlineStr">
        <is>
          <t>TEL: 256-277-0045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4" t="n"/>
      <c r="N9" s="4" t="n"/>
      <c r="O9" s="4" t="n"/>
      <c r="P9" s="5" t="n"/>
      <c r="Q9" s="10" t="inlineStr">
        <is>
          <t>PRINT AT: 10 APR 2026</t>
        </is>
      </c>
      <c r="R9" s="10" t="n"/>
      <c r="S9" s="8" t="n"/>
    </row>
    <row r="10" ht="25" customHeight="1">
      <c r="A10" s="5" t="inlineStr">
        <is>
          <t>PAYMENT TERM: T/T NET ETD 75DAYS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4" t="n"/>
      <c r="N10" s="4" t="n"/>
      <c r="O10" s="4" t="n"/>
      <c r="P10" s="5" t="n"/>
      <c r="Q10" s="10" t="inlineStr">
        <is>
          <t>CURRENCY: USD</t>
        </is>
      </c>
      <c r="R10" s="10" t="n"/>
      <c r="S10" s="8" t="n"/>
    </row>
    <row r="11" ht="20.15" customHeight="1">
      <c r="A11" s="11" t="inlineStr">
        <is>
          <t>CTN #</t>
        </is>
      </c>
      <c r="D11" s="12" t="inlineStr">
        <is>
          <t># of CTNS</t>
        </is>
      </c>
      <c r="E11" s="13" t="inlineStr">
        <is>
          <t># of Pallets</t>
        </is>
      </c>
      <c r="F11" s="13" t="inlineStr">
        <is>
          <t>Pallet#</t>
        </is>
      </c>
      <c r="I11" s="11" t="inlineStr">
        <is>
          <t>PO#</t>
        </is>
      </c>
      <c r="J11" s="11" t="inlineStr">
        <is>
          <t>Item No</t>
        </is>
      </c>
      <c r="K11" s="13" t="inlineStr">
        <is>
          <t>Description</t>
        </is>
      </c>
      <c r="L11" s="13" t="inlineStr">
        <is>
          <t>Quantity</t>
        </is>
      </c>
      <c r="M11" s="13" t="inlineStr">
        <is>
          <t>CTN/PLT</t>
        </is>
      </c>
      <c r="N11" s="13" t="inlineStr">
        <is>
          <t>N.W.(CTN)</t>
        </is>
      </c>
      <c r="O11" s="13" t="inlineStr">
        <is>
          <t>G.W. (CTN)</t>
        </is>
      </c>
      <c r="P11" s="13" t="inlineStr">
        <is>
          <t>Dimension(CM)</t>
        </is>
      </c>
      <c r="Q11" s="14" t="inlineStr">
        <is>
          <t>CBM W/Pallet</t>
        </is>
      </c>
      <c r="R11" s="15" t="inlineStr">
        <is>
          <t>N.W. W/Pallet</t>
        </is>
      </c>
      <c r="S11" s="16" t="inlineStr">
        <is>
          <t>G.W.W/Pallet</t>
        </is>
      </c>
    </row>
    <row r="12" ht="43" customHeight="1">
      <c r="A12" s="17" t="inlineStr">
        <is>
          <t>1</t>
        </is>
      </c>
      <c r="B12" s="17" t="inlineStr">
        <is>
          <t>-</t>
        </is>
      </c>
      <c r="C12" s="18" t="inlineStr">
        <is>
          <t>25200</t>
        </is>
      </c>
      <c r="D12" s="19">
        <f>C12-A12+1</f>
        <v/>
      </c>
      <c r="E12" s="20">
        <f>D12/M12</f>
        <v/>
      </c>
      <c r="F12" s="21" t="inlineStr">
        <is>
          <t>1</t>
        </is>
      </c>
      <c r="G12" s="17" t="inlineStr">
        <is>
          <t>-</t>
        </is>
      </c>
      <c r="H12" s="22" t="inlineStr">
        <is>
          <t>12</t>
        </is>
      </c>
      <c r="I12" s="23" t="n">
        <v>162677</v>
      </c>
      <c r="J12" s="24" t="inlineStr">
        <is>
          <t>8SHB010058</t>
        </is>
      </c>
      <c r="K12" s="25" t="inlineStr">
        <is>
          <t>0266IHW10-SP1; 4 IN 1 UNI MNT KIT</t>
        </is>
      </c>
      <c r="L12" s="26" t="n">
        <v>2</v>
      </c>
      <c r="M12" s="27" t="n">
        <v>240</v>
      </c>
      <c r="N12" s="28" t="n">
        <v>0.34</v>
      </c>
      <c r="O12" s="29" t="n">
        <v>0.5</v>
      </c>
      <c r="P12" s="30" t="inlineStr">
        <is>
          <t>121.92*101.6*71.2</t>
        </is>
      </c>
      <c r="Q12" s="31">
        <f>121.92*101.6*71.2/1000000</f>
        <v/>
      </c>
      <c r="R12" s="32">
        <f>N12*M12+9.92</f>
        <v/>
      </c>
      <c r="S12" s="33">
        <f>O12*M12+4</f>
        <v/>
      </c>
    </row>
    <row r="13" ht="15.5" customHeight="1">
      <c r="A13" s="34" t="n"/>
      <c r="B13" s="34" t="n"/>
      <c r="C13" s="35" t="n"/>
      <c r="D13" s="36" t="n"/>
      <c r="E13" s="37" t="n"/>
      <c r="F13" s="34" t="n"/>
      <c r="G13" s="34" t="n"/>
      <c r="H13" s="35" t="n"/>
      <c r="I13" s="38" t="n"/>
      <c r="J13" s="38" t="n"/>
      <c r="K13" s="39" t="inlineStr">
        <is>
          <t>SUBTOTAL:</t>
        </is>
      </c>
      <c r="L13" s="40">
        <f>L12*D12</f>
        <v/>
      </c>
      <c r="M13" s="40" t="n"/>
      <c r="N13" s="41" t="n"/>
      <c r="O13" s="41" t="n"/>
      <c r="P13" s="42" t="n"/>
      <c r="Q13" s="43">
        <f>Q12*E12</f>
        <v/>
      </c>
      <c r="R13" s="44">
        <f>R12*E12</f>
        <v/>
      </c>
      <c r="S13" s="45">
        <f>S12*E12</f>
        <v/>
      </c>
    </row>
    <row r="14" ht="41.25" customHeight="1"/>
    <row r="15" ht="15.5" customHeight="1"/>
    <row r="16" ht="46.5" customHeight="1"/>
    <row r="17" ht="15.5" customHeight="1"/>
    <row r="18" ht="54.5" customHeight="1"/>
    <row r="19" ht="15.5" customHeight="1"/>
    <row r="20" ht="16" customHeight="1"/>
    <row r="21" ht="17.5" customHeight="1"/>
  </sheetData>
  <mergeCells count="6">
    <mergeCell ref="F11:H11"/>
    <mergeCell ref="A11:C11"/>
    <mergeCell ref="A1:S1"/>
    <mergeCell ref="A3:S3"/>
    <mergeCell ref="A4:S4"/>
    <mergeCell ref="A2:S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2026-07-16T09:32:16Z</dcterms:created>
  <dcterms:modified xmlns:dcterms="http://purl.org/dc/terms/" xmlns:xsi="http://www.w3.org/2001/XMLSchema-instance" xsi:type="dcterms:W3CDTF">2026-07-16T09:32:16Z</dcterms:modified>
</cp:coreProperties>
</file>